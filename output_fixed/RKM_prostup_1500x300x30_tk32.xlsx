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<sst xmlns="http://schemas.openxmlformats.org/spreadsheetml/2006/main" count="538" uniqueCount="404">
  <si>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</si>
  <si>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</si>
  <si>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</si>
  <si>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</si>
  <si>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</si>
  <si>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</si>
  <si>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</si>
  <si>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</si>
  <si>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</si>
  <si>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</si>
  <si>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</si>
  <si>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</si>
  <si>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</si>
  <si>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</si>
  <si>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</si>
  <si>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</si>
  <si>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</si>
  <si>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</si>
  <si>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</si>
  <si>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</si>
  <si>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</si>
  <si>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</si>
  <si>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</si>
  <si>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</si>
  <si>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</si>
  <si>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</si>
  <si>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</si>
  <si>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</si>
  <si>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</si>
  <si>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</si>
  <si>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</si>
  <si>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</si>
  <si>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</si>
  <si>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</si>
  <si>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</si>
  <si>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</si>
  <si>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</si>
  <si>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</si>
  <si>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</si>
  <si>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</si>
  <si>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</si>
  <si>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</si>
  <si>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</si>
  <si>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</si>
  <si>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</si>
  <si>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</si>
  <si>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</si>
  <si>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</si>
  <si>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</si>
  <si>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</si>
  <si>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</si>
  <si>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</si>
  <si>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</si>
  <si>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</si>
  <si>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</si>
  <si>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</si>
  <si>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камня - проступь фигурная, сложной конфигурации, с закругленным кантом (капельником) R=25 и пазом для подступенка 20х5мм, с механизированной обработкой кромок (калибровка) и с ручной доработкой поверхностей: Материал — мрамор Delikato light Обработка поверхности — лощение; габаритные размеры 1500х300х30мм, калибровка по четырем сторонам, со шлифовкой и фасками 5мм по всем сторонам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</si>
  <si>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</si>
  <si>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</si>
  <si>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</si>
  <si>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</si>
  <si>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</si>
  <si>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</si>
  <si>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</si>
  <si>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</si>
  <si>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</si>
  <si>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</si>
  <si>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</si>
  <si>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Мрамор месторождения "Delikato light" </t>
  </si>
  <si>
    <t>Фактура/отделка (текст для титула)</t>
  </si>
  <si>
    <t>Лощение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</si>
  <si>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</si>
  <si>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</si>
  <si>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</si>
  <si>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</si>
  <si>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</si>
  <si>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</si>
  <si>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</si>
  <si>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</si>
  <si>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</si>
  <si>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</si>
  <si>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</si>
  <si>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</si>
  <si>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</si>
  <si>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</si>
  <si>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</si>
  <si>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</si>
  <si>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</si>
  <si>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</si>
  <si>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</si>
  <si>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</si>
  <si>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</si>
  <si>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</si>
  <si>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</si>
  <si>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</si>
  <si>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</si>
  <si>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</si>
  <si>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</si>
  <si>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</si>
  <si>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</si>
  <si>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</si>
  <si>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</si>
  <si>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</si>
  <si>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</si>
  <si>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</si>
  <si>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</si>
  <si>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</si>
  <si>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</si>
  <si>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</si>
  <si>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</si>
  <si>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</si>
  <si>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</si>
  <si>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</si>
  <si>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</si>
  <si>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</si>
  <si>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</si>
  <si>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</si>
  <si>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</si>
  <si>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</si>
  <si>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</si>
  <si>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</si>
  <si>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</si>
  <si>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</si>
  <si>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</si>
  <si>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</si>
  <si>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</si>
  <si>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</si>
  <si>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</si>
  <si>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</si>
  <si>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</si>
  <si>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</si>
  <si>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</si>
  <si>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</si>
  <si>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</si>
  <si>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</si>
  <si>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</si>
  <si>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</si>
  <si>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</si>
  <si>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</si>
  <si>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</si>
  <si>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</si>
  <si>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</si>
  <si>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</si>
  <si>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</si>
  <si>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</si>
  <si>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</si>
  <si>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</si>
  <si>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</si>
  <si>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</si>
  <si>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</si>
  <si>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</si>
  <si>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</si>
  <si>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</si>
  <si>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</si>
  <si>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</si>
  <si>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</si>
  <si>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</si>
  <si>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</si>
  <si>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</si>
  <si>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</si>
  <si>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</si>
  <si>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</si>
  <si>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</si>
  <si>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</si>
  <si>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</si>
  <si>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</si>
  <si>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</si>
  <si>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</si>
  <si>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</si>
  <si>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</si>
  <si>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</si>
  <si>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</si>
  <si>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</si>
  <si>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 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</si>
  <si>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</si>
  <si>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</si>
  <si>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</si>
  <si>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</si>
  <si>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</si>
  <si>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</si>
  <si>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</si>
  <si>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</si>
  <si>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</si>
  <si>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</si>
  <si>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</si>
  <si>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</si>
  <si>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</si>
  <si>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</si>
  <si>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</si>
  <si>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</si>
  <si>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ресурс головы</t>
  </si>
  <si>
    <t>20 м²/голову, 25.2 м² / 20 = 0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</si>
  <si>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</si>
  <si>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</si>
  <si>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</si>
  <si>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56 компл на 56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</si>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</sst>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2700</v>
      </c>
    </row>
    <row r="6" spans="1:5" x14ac:dyDescent="0.25">
      <c r="A6" t="s">
        <v>58</v>
      </c>
      <c r="B6" s="5">
        <v>56</v>
      </c>
      <c r="D6" t="s">
        <v>59</v>
      </c>
      <c r="E6" s="5">
        <v>1.2</v>
      </c>
    </row>
    <row r="7" spans="1:5" x14ac:dyDescent="0.25">
      <c r="A7" t="s">
        <v>60</v>
      </c>
      <c r="B7" s="5">
        <v>1500</v>
      </c>
      <c r="D7" t="s">
        <v>61</v>
      </c>
      <c r="E7" s="5">
        <v>1.4</v>
      </c>
    </row>
    <row r="8" spans="1:5" x14ac:dyDescent="0.25">
      <c r="A8" t="s">
        <v>62</v>
      </c>
      <c r="B8" s="5">
        <v>300</v>
      </c>
      <c r="D8" t="s">
        <v>63</v>
      </c>
      <c r="E8" s="5">
        <v>1.05</v>
      </c>
    </row>
    <row r="9" spans="1:5" x14ac:dyDescent="0.25">
      <c r="A9" t="s">
        <v>64</v>
      </c>
      <c r="B9" s="5">
        <v>30</v>
      </c>
      <c r="D9" t="s">
        <v>65</v>
      </c>
      <c r="E9" s="5">
        <v>642000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20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21</v>
      </c>
      <c r="B21" s="16" t="s">
        <v>299</v>
      </c>
      <c r="C21" s="16" t="s">
        <v>300</v>
      </c>
      <c r="D21" s="10" t="s">
        <v>95</v>
      </c>
      <c r="E21" s="10" t="s">
        <v>88</v>
      </c>
      <c r="F21" s="10" t="s">
        <v>255</v>
      </c>
      <c r="G21" s="10" t="s">
        <v>256</v>
      </c>
      <c r="H21" s="22">
        <v>4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2.5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22</v>
      </c>
      <c r="B22" s="16" t="s">
        <v>302</v>
      </c>
      <c r="C22" s="16" t="s">
        <v>303</v>
      </c>
      <c r="D22" s="10" t="s">
        <v>152</v>
      </c>
      <c r="E22" s="10" t="s">
        <v>88</v>
      </c>
      <c r="F22" s="10" t="s">
        <v>290</v>
      </c>
      <c r="G22" s="10" t="s">
        <v>242</v>
      </c>
      <c r="H22" s="22">
        <v>2.5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23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297</v>
      </c>
      <c r="G23" s="10" t="s">
        <v>242</v>
      </c>
      <c r="H23" s="22">
        <v>1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24</v>
      </c>
      <c r="B24" s="16" t="s">
        <v>308</v>
      </c>
      <c r="C24" s="16" t="s">
        <v>309</v>
      </c>
      <c r="D24" s="10" t="s">
        <v>152</v>
      </c>
      <c r="E24" s="10" t="s">
        <v>82</v>
      </c>
      <c r="F24" s="10" t="s">
        <v>260</v>
      </c>
      <c r="G24" s="10" t="s">
        <v>242</v>
      </c>
      <c r="H24" s="22">
        <v>2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310</v>
      </c>
    </row>
    <row r="25" spans="1:21" x14ac:dyDescent="0.25">
      <c r="A25" s="10">
        <v>25</v>
      </c>
      <c r="B25" s="16" t="s">
        <v>311</v>
      </c>
      <c r="C25" s="16" t="s">
        <v>312</v>
      </c>
      <c r="D25" s="10" t="s">
        <v>152</v>
      </c>
      <c r="E25" s="10" t="s">
        <v>82</v>
      </c>
      <c r="F25" s="10" t="s">
        <v>313</v>
      </c>
      <c r="G25" s="10" t="s">
        <v>242</v>
      </c>
      <c r="H25" s="22">
        <v>1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0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26</v>
      </c>
      <c r="B26" s="16" t="s">
        <v>315</v>
      </c>
      <c r="C26" s="16" t="s">
        <v>316</v>
      </c>
      <c r="D26" s="10" t="s">
        <v>152</v>
      </c>
      <c r="E26" s="10" t="s">
        <v>94</v>
      </c>
      <c r="F26" s="10" t="s">
        <v>317</v>
      </c>
      <c r="G26" s="10" t="s">
        <v>242</v>
      </c>
      <c r="H26" s="22">
        <v>4.5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318</v>
      </c>
    </row>
    <row r="27" spans="1:21" x14ac:dyDescent="0.25">
      <c r="A27" s="10">
        <v>27</v>
      </c>
      <c r="B27" s="16" t="s">
        <v>319</v>
      </c>
      <c r="C27" s="16" t="s">
        <v>320</v>
      </c>
      <c r="D27" s="10" t="s">
        <v>98</v>
      </c>
      <c r="E27" s="10" t="s">
        <v>94</v>
      </c>
      <c r="F27" s="10" t="s">
        <v>321</v>
      </c>
      <c r="G27" s="10" t="s">
        <v>237</v>
      </c>
      <c r="H27" s="22">
        <v>3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0.6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322</v>
      </c>
    </row>
    <row r="28" spans="1:21" x14ac:dyDescent="0.25">
      <c r="A28" s="10">
        <v>28</v>
      </c>
      <c r="B28" s="16" t="s">
        <v>323</v>
      </c>
      <c r="C28" s="16" t="s">
        <v>324</v>
      </c>
      <c r="D28" s="10" t="s">
        <v>98</v>
      </c>
      <c r="E28" s="10" t="s">
        <v>94</v>
      </c>
      <c r="F28" s="10" t="s">
        <v>325</v>
      </c>
      <c r="G28" s="10" t="s">
        <v>251</v>
      </c>
      <c r="H28" s="22">
        <v>1.8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0.6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326</v>
      </c>
    </row>
    <row r="30" spans="2:20" x14ac:dyDescent="0.25">
      <c r="B30" s="3" t="s">
        <v>327</v>
      </c>
      <c r="G30" t="s">
        <v>242</v>
      </c>
      <c r="H30" s="20">
        <f>SUM(H5:H28)</f>
      </c>
      <c r="I30" s="20">
        <f>SUM(I5:I28)</f>
      </c>
      <c r="J30" t="s">
        <v>242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328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329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120</v>
      </c>
      <c r="C4" s="23" t="s">
        <v>331</v>
      </c>
    </row>
    <row r="5" spans="1:3" x14ac:dyDescent="0.25">
      <c r="A5" s="10" t="s">
        <v>332</v>
      </c>
      <c r="B5" s="13">
        <f>Материалы!$F$16</f>
      </c>
      <c r="C5" s="10" t="s">
        <v>333</v>
      </c>
    </row>
    <row r="6" spans="1:3" x14ac:dyDescent="0.25">
      <c r="A6" s="10" t="s">
        <v>334</v>
      </c>
      <c r="B6" s="13">
        <f>Операции!$T$30</f>
      </c>
      <c r="C6" s="10" t="s">
        <v>335</v>
      </c>
    </row>
    <row r="7" spans="1:3" x14ac:dyDescent="0.25">
      <c r="A7" s="10" t="s">
        <v>336</v>
      </c>
      <c r="B7" s="13">
        <f>Операции!$K$30+Операции!$L$30</f>
      </c>
      <c r="C7" s="10" t="s">
        <v>337</v>
      </c>
    </row>
    <row r="8" spans="1:3" x14ac:dyDescent="0.25">
      <c r="A8" s="10" t="s">
        <v>338</v>
      </c>
      <c r="B8" s="13">
        <f>B7*Вводные_данные!$E$27</f>
      </c>
      <c r="C8" s="10" t="s">
        <v>339</v>
      </c>
    </row>
    <row r="9" spans="1:3" x14ac:dyDescent="0.25">
      <c r="A9" s="10" t="s">
        <v>340</v>
      </c>
      <c r="B9" s="13">
        <f>B5+B6+B8</f>
      </c>
      <c r="C9" s="10" t="s">
        <v>341</v>
      </c>
    </row>
    <row r="10" spans="1:3" x14ac:dyDescent="0.25">
      <c r="A10" s="10" t="s">
        <v>342</v>
      </c>
      <c r="B10" s="13">
        <f>B9*Вводные_данные!$E$29</f>
      </c>
      <c r="C10" s="10" t="s">
        <v>343</v>
      </c>
    </row>
    <row r="11" spans="1:3" x14ac:dyDescent="0.25">
      <c r="A11" s="10" t="s">
        <v>344</v>
      </c>
      <c r="B11" s="13">
        <f>B9+B10</f>
      </c>
      <c r="C11" s="10" t="s">
        <v>152</v>
      </c>
    </row>
    <row r="12" spans="1:3" x14ac:dyDescent="0.25">
      <c r="A12" s="10" t="s">
        <v>345</v>
      </c>
      <c r="B12" s="13">
        <f>B11*Вводные_данные!$E$28</f>
      </c>
      <c r="C12" s="10" t="s">
        <v>346</v>
      </c>
    </row>
    <row r="13" spans="1:3" x14ac:dyDescent="0.25">
      <c r="A13" s="24" t="s">
        <v>347</v>
      </c>
      <c r="B13" s="20">
        <f>B11+B12</f>
      </c>
      <c r="C13" s="10" t="s">
        <v>348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349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350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351</v>
      </c>
    </row>
    <row r="5" spans="1:3" x14ac:dyDescent="0.25">
      <c r="A5" s="10" t="s">
        <v>352</v>
      </c>
      <c r="B5" s="18">
        <v>940</v>
      </c>
      <c r="C5" s="10" t="s">
        <v>353</v>
      </c>
    </row>
    <row r="6" spans="1:3" x14ac:dyDescent="0.25">
      <c r="A6" s="10" t="s">
        <v>354</v>
      </c>
      <c r="B6" s="22">
        <v>1</v>
      </c>
      <c r="C6" s="10" t="s">
        <v>355</v>
      </c>
    </row>
    <row r="7" spans="1:3" x14ac:dyDescent="0.25">
      <c r="A7" s="10" t="s">
        <v>356</v>
      </c>
      <c r="B7" s="18">
        <v>120</v>
      </c>
      <c r="C7" s="10" t="s">
        <v>357</v>
      </c>
    </row>
    <row r="8" spans="1:3" x14ac:dyDescent="0.25">
      <c r="A8" s="10" t="s">
        <v>358</v>
      </c>
      <c r="B8" s="18">
        <v>25000</v>
      </c>
      <c r="C8" s="10" t="s">
        <v>359</v>
      </c>
    </row>
    <row r="9" spans="1:3" x14ac:dyDescent="0.25">
      <c r="A9" s="10" t="s">
        <v>360</v>
      </c>
      <c r="B9" s="18">
        <v>35000</v>
      </c>
      <c r="C9" s="10" t="s">
        <v>361</v>
      </c>
    </row>
    <row r="10" spans="1:3" x14ac:dyDescent="0.25">
      <c r="A10" s="10" t="s">
        <v>362</v>
      </c>
      <c r="B10" s="22">
        <v>0.005</v>
      </c>
      <c r="C10" s="10" t="s">
        <v>363</v>
      </c>
    </row>
    <row r="12" spans="1:3" x14ac:dyDescent="0.25">
      <c r="A12" s="10" t="s">
        <v>364</v>
      </c>
      <c r="B12" s="13">
        <f>B5*B7*B6</f>
      </c>
      <c r="C12" s="10" t="s">
        <v>365</v>
      </c>
    </row>
    <row r="13" spans="1:3" x14ac:dyDescent="0.25">
      <c r="A13" s="10" t="s">
        <v>366</v>
      </c>
      <c r="B13" s="13">
        <f>B8</f>
      </c>
      <c r="C13" s="10" t="s">
        <v>152</v>
      </c>
    </row>
    <row r="14" spans="1:3" x14ac:dyDescent="0.25">
      <c r="A14" s="10" t="s">
        <v>367</v>
      </c>
      <c r="B14" s="13">
        <f>B9</f>
      </c>
      <c r="C14" s="10" t="s">
        <v>152</v>
      </c>
    </row>
    <row r="15" spans="1:3" x14ac:dyDescent="0.25">
      <c r="A15" s="10" t="s">
        <v>368</v>
      </c>
      <c r="B15" s="13">
        <f>Накладные_и_прибыль!$B$13*B10</f>
      </c>
      <c r="C15" s="10" t="s">
        <v>369</v>
      </c>
    </row>
    <row r="16" spans="1:3" x14ac:dyDescent="0.25">
      <c r="A16" s="24" t="s">
        <v>370</v>
      </c>
      <c r="B16" s="20">
        <f>SUM(B12:B15)</f>
      </c>
      <c r="C16" s="10" t="s">
        <v>371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372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373</v>
      </c>
      <c r="C4" s="23" t="s">
        <v>121</v>
      </c>
    </row>
    <row r="5" spans="1:3" x14ac:dyDescent="0.25">
      <c r="A5" s="10" t="s">
        <v>374</v>
      </c>
      <c r="B5" s="13">
        <f>Накладные_и_прибыль!$B$5</f>
      </c>
      <c r="C5" s="10" t="s">
        <v>152</v>
      </c>
    </row>
    <row r="6" spans="1:3" x14ac:dyDescent="0.25">
      <c r="A6" s="10" t="s">
        <v>375</v>
      </c>
      <c r="B6" s="13">
        <f>Накладные_и_прибыль!$B$6</f>
      </c>
      <c r="C6" s="10" t="s">
        <v>152</v>
      </c>
    </row>
    <row r="7" spans="1:3" x14ac:dyDescent="0.25">
      <c r="A7" s="10" t="s">
        <v>376</v>
      </c>
      <c r="B7" s="13">
        <f>Накладные_и_прибыль!$B$7</f>
      </c>
      <c r="C7" s="10" t="s">
        <v>152</v>
      </c>
    </row>
    <row r="8" spans="1:3" x14ac:dyDescent="0.25">
      <c r="A8" s="10" t="s">
        <v>377</v>
      </c>
      <c r="B8" s="13">
        <f>Накладные_и_прибыль!$B$10</f>
      </c>
      <c r="C8" s="10" t="s">
        <v>152</v>
      </c>
    </row>
    <row r="9" spans="1:3" x14ac:dyDescent="0.25">
      <c r="A9" s="10" t="s">
        <v>378</v>
      </c>
      <c r="B9" s="13">
        <f>Накладные_и_прибыль!$B$12</f>
      </c>
      <c r="C9" s="10" t="s">
        <v>152</v>
      </c>
    </row>
    <row r="10" spans="1:3" x14ac:dyDescent="0.25">
      <c r="A10" s="24" t="s">
        <v>379</v>
      </c>
      <c r="B10" s="20">
        <f>Накладные_и_прибыль!$B$13</f>
      </c>
      <c r="C10" s="10" t="s">
        <v>152</v>
      </c>
    </row>
    <row r="11" spans="1:3" x14ac:dyDescent="0.25">
      <c r="A11" s="10" t="s">
        <v>380</v>
      </c>
      <c r="B11" s="13">
        <f>Транспорт!$B$16</f>
      </c>
      <c r="C11" s="10" t="s">
        <v>152</v>
      </c>
    </row>
    <row r="12" spans="1:3" x14ac:dyDescent="0.25">
      <c r="A12" s="24" t="s">
        <v>381</v>
      </c>
      <c r="B12" s="20">
        <f>B10+B11</f>
      </c>
      <c r="C12" s="10" t="s">
        <v>152</v>
      </c>
    </row>
    <row r="13" spans="1:3" x14ac:dyDescent="0.25">
      <c r="A13" s="10" t="s">
        <v>382</v>
      </c>
      <c r="B13" s="13">
        <f>B12*Вводные_данные!$E$26</f>
      </c>
      <c r="C13" s="10" t="s">
        <v>152</v>
      </c>
    </row>
    <row r="14" spans="1:3" x14ac:dyDescent="0.25">
      <c r="A14" s="25" t="s">
        <v>383</v>
      </c>
      <c r="B14" s="26">
        <f>B12+B13</f>
      </c>
      <c r="C14" s="10" t="s">
        <v>152</v>
      </c>
    </row>
    <row r="15" spans="1:3" x14ac:dyDescent="0.25">
      <c r="A15" s="10" t="s">
        <v>384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385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386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386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387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387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104</v>
      </c>
      <c r="B3" s="3" t="s">
        <v>107</v>
      </c>
      <c r="C3" s="3" t="s">
        <v>389</v>
      </c>
      <c r="D3" s="3" t="s">
        <v>390</v>
      </c>
    </row>
    <row r="4" spans="1:4" x14ac:dyDescent="0.25">
      <c r="A4" t="s">
        <v>105</v>
      </c>
      <c r="B4" t="s">
        <v>108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2026-04-06T15:37:31Z</dcterms:created>
  <dcterms:modified xsi:type="dcterms:W3CDTF">2026-04-06T15:37:31Z</dcterms:modified>
</cp:coreProperties>
</file>
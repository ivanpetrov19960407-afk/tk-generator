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Титульный лист" state="visible" r:id="rId4"/>
    <sheet sheetId="2" name="Инструкция_серия" state="visible" r:id="rId5"/>
    <sheet sheetId="3" name="Вводные_данные" state="visible" r:id="rId6"/>
    <sheet sheetId="4" name="Геометрия" state="visible" r:id="rId7"/>
    <sheet sheetId="5" name="Материалы" state="visible" r:id="rId8"/>
    <sheet sheetId="6" name="Операции" state="visible" r:id="rId9"/>
    <sheet sheetId="7" name="Накладные_и_прибыль" state="visible" r:id="rId10"/>
    <sheet sheetId="8" name="Транспорт" state="visible" r:id="rId11"/>
    <sheet sheetId="9" name="ИТОГО" state="visible" r:id="rId12"/>
    <sheet sheetId="10" name="Справочники" state="visible" r:id="rId13"/>
  </sheets>
  <calcPr calcId="171027"/>
</workbook>
</file>

<file path=xl/sharedStrings.xml><?xml version="1.0" encoding="utf-8"?>
<sst xmlns="http://schemas.openxmlformats.org/spreadsheetml/2006/main" count="538" uniqueCount="404">
  <si>
    <t xml:space="preserve">ООО «Архитектурно-строительное управление №7»  
Юр.адрес: 420059, РТ, г.Казань, ул.Оренбургский тракт, д.8Д, пом.№ 1016  
ИНН: 1684002816, КПП: 168401001  
Р/счет: 40702810600020016073, в ПАО «АК БАРС» БАНК  
К/счет: 30101810000000000805, БИК: 49205805  
Тел.: +7 905 022 23 55, Email: asu-722@mail.ru</t>
  </si>
  <si>
    <t>РАСЧЕТНО-КАЛЬКУЛЯЦИОННАЯ ВЕДОМОСТЬ (РКМ)</t>
  </si>
  <si>
    <t>Наименование изделия:</t>
  </si>
  <si>
    <t>Материал:</t>
  </si>
  <si>
    <t>Размеры, мм:</t>
  </si>
  <si>
    <t>Количество:</t>
  </si>
  <si>
    <t xml:space="preserve">Фактура поверхности </t>
  </si>
  <si>
    <t>Основание расчета:</t>
  </si>
  <si>
    <t>Техническое задание на разработку ТК и РКМ (2025 г.).</t>
  </si>
  <si>
    <t>Составил:</t>
  </si>
  <si>
    <t>________________ / ____________________</t>
  </si>
  <si>
    <t>Проверил (ОТК/нормоконтроль):</t>
  </si>
  <si>
    <t>Утвердил:</t>
  </si>
  <si>
    <t>Дата:</t>
  </si>
  <si>
    <t>ИНСТРУКЦИЯ ДЛЯ СЕРИЙНОГО ВЫПУСКА РКМ ПО ЭТАЛОНУ</t>
  </si>
  <si>
    <t>Эталон: данный файл-шаблон. Для каждой позиции из плана создавайте отдельную копию и заполняйте вводные и разделы.</t>
  </si>
  <si>
    <t>Шаг</t>
  </si>
  <si>
    <t>Действие</t>
  </si>
  <si>
    <t>Где в файле</t>
  </si>
  <si>
    <t>1</t>
  </si>
  <si>
    <t>Сохраните копию шаблона под имя файла с номером позиции (пример: RKM_Pos_001_&lt;короткое_имя&gt;.xlsx).</t>
  </si>
  <si>
    <t>Файл</t>
  </si>
  <si>
    <t>2</t>
  </si>
  <si>
    <t>Заполните параметры изделия: наименование, количество, L×W×T, материал и фактуру (для титула и расчетов).</t>
  </si>
  <si>
    <t>Вводные_данные!B5:B12</t>
  </si>
  <si>
    <t>3</t>
  </si>
  <si>
    <t>Зафиксируйте методику удельных и базу (единообразно для всей серии): выберите методики в выпадающих списках и при необходимости переопределите базы м²/м.п.</t>
  </si>
  <si>
    <t>Вводные_данные!B23:B24 и E23/H23</t>
  </si>
  <si>
    <t>4</t>
  </si>
  <si>
    <t>Проверьте геометрию и потребность сырья (коэффициенты и цена блока — во вводных данных).</t>
  </si>
  <si>
    <t>Геометрия</t>
  </si>
  <si>
    <t>5</t>
  </si>
  <si>
    <t>Заполните раздел 1 (материалы/упаковка): количество, цена, реквизиты подтверждающего документа и норматив/основание (при необходимости можно заполнить позже).</t>
  </si>
  <si>
    <t>Материалы (колонки G–H)</t>
  </si>
  <si>
    <t>6</t>
  </si>
  <si>
    <t>Заполните раздел 3 (операции): нормы времени, роли/ставки, машинное время, норматив/основание и комментарии (по каждой операции).</t>
  </si>
  <si>
    <t>Операции</t>
  </si>
  <si>
    <t>7</t>
  </si>
  <si>
    <t>Заполните раздел 2 (логистика): расстояние/тариф/рейсы, погрузка/разгрузка, страхование; укажите источник/документ.</t>
  </si>
  <si>
    <t>Транспорт</t>
  </si>
  <si>
    <t>8</t>
  </si>
  <si>
    <t>Проверьте накладные/резерв/прибыль (проценты заданы во вводных данных; база начисления раскрыта формулами).</t>
  </si>
  <si>
    <t>Накладные_и_прибыль + Вводные_данные!E27:E29</t>
  </si>
  <si>
    <t>9</t>
  </si>
  <si>
    <t>Контроль результата: ИТОГО по партии, за 1 шт, за 1 м² и за 1 м.п. (с/без НДС).</t>
  </si>
  <si>
    <t>ИТОГО</t>
  </si>
  <si>
    <t>10</t>
  </si>
  <si>
    <t>Заполните подписи и дату на титульном листе; перед печатью проверьте области печати и масштаб.</t>
  </si>
  <si>
    <t>Титульный лист</t>
  </si>
  <si>
    <t>Важно:</t>
  </si>
  <si>
    <t>После старта серии не меняйте методику м²/м.п. и базу распределения. Если методика меняется по требованию заказчика — обновите ее единообразно во всех РКМ серии.</t>
  </si>
  <si>
    <t>ВВОДНЫЕ ДАННЫЕ И ДОПУЩЕНИЯ</t>
  </si>
  <si>
    <t>Все значения в желтых ячейках — редактируемые (исходные параметры / ставки).</t>
  </si>
  <si>
    <t>1) Параметры изделия</t>
  </si>
  <si>
    <t>2) Материал, коэффициенты потерь и допуски</t>
  </si>
  <si>
    <t>Наименование</t>
  </si>
  <si>
    <t>Изделие индивидуальное, архитектурное 1-й категории, калиброванное с подбором по оттенку и зернистости с минимальным содержанием жил и микротрещин элемент высокоточного индивидуального изготовления из натурального камня: угловые полукруглые балясины для внутренней отделки лестниц, сложной конфигурации по профилю (фигурный контур с профилированной базой (плинтом), вазаобразным стволом с двухрадиусным рельефным декором в средней части, основанием под декоративным элементом и резной капителью), с механизированной обработкой кромок (калибровка основания и верха) и ручной художественной доработкой поверхностей; Материал — мрамор Delikato light; Обработка - лощение, габаритные размеры 205х205хH590мм</t>
  </si>
  <si>
    <t>Плотность гранита, кг/м3</t>
  </si>
  <si>
    <t>Количество, шт</t>
  </si>
  <si>
    <t>Коэф. припусков/керфа (объем), k_allow</t>
  </si>
  <si>
    <t>Длина L, мм</t>
  </si>
  <si>
    <t>Коэф. отбора/брака (подбор партии, длина&gt;5м), k_reject</t>
  </si>
  <si>
    <t>Ширина W, мм</t>
  </si>
  <si>
    <t>Тех. запас на партию, k_reserve</t>
  </si>
  <si>
    <t>Толщина T, мм</t>
  </si>
  <si>
    <t>Цена гранитного блока, руб/м3 (КП/счет)</t>
  </si>
  <si>
    <t>Подрезка по месту (0=нет, 1=да)</t>
  </si>
  <si>
    <t>Материал (текст для титула)</t>
  </si>
  <si>
    <t xml:space="preserve">Мрамор месторождения "Delikato light" </t>
  </si>
  <si>
    <t>Фактура/отделка (текст для титула)</t>
  </si>
  <si>
    <t>Лощение</t>
  </si>
  <si>
    <t>3) Тарифы труда (2025), руб/ч (редактируемые)</t>
  </si>
  <si>
    <t>4) Тарифы машинного времени и энергоносителей</t>
  </si>
  <si>
    <t>Категория/роль</t>
  </si>
  <si>
    <t>Ставка, руб/ч</t>
  </si>
  <si>
    <t>Оборудование/ресурс</t>
  </si>
  <si>
    <t>Ставка, руб/маш-ч</t>
  </si>
  <si>
    <t>Примечание</t>
  </si>
  <si>
    <t>Средн. мощность, кВт</t>
  </si>
  <si>
    <t>Директор производства</t>
  </si>
  <si>
    <t>SQC2200 (мостовая пила, алмаз)</t>
  </si>
  <si>
    <t>распиловка, учет износа дисков</t>
  </si>
  <si>
    <t>Мастер цеха (гранит/мрамор)</t>
  </si>
  <si>
    <t>JC-1010 (калибровальный станок)</t>
  </si>
  <si>
    <t>калибровка плоскостей, толщина 150 мм</t>
  </si>
  <si>
    <t>Наладчик станков с ЧПУ</t>
  </si>
  <si>
    <t>Фрезерный ЧПУ/портал</t>
  </si>
  <si>
    <t>контур/карман/капельник</t>
  </si>
  <si>
    <t>Распиловщик камня (Камнерез)</t>
  </si>
  <si>
    <t>SQC600-4D (профильный/кромкообрабатывающий)</t>
  </si>
  <si>
    <t>профиль R25 на длине 5,15 м</t>
  </si>
  <si>
    <t>Электрик</t>
  </si>
  <si>
    <t>Бучардировочная станция (пневмо)</t>
  </si>
  <si>
    <t>поверхность 1 кат.</t>
  </si>
  <si>
    <t>Разнорабочий</t>
  </si>
  <si>
    <t>ZLMS 2600 / SPG1200-12 (лощильная линия)</t>
  </si>
  <si>
    <t>лицевые плоскости</t>
  </si>
  <si>
    <t>Инженер КИПиА</t>
  </si>
  <si>
    <t>Кран-балка (внутрицех.)</t>
  </si>
  <si>
    <t>перемещения/перевороты</t>
  </si>
  <si>
    <t>5) База удельных расчетов (м²/м.п.)</t>
  </si>
  <si>
    <t>6) Методика удельных (справочно)</t>
  </si>
  <si>
    <t>База м² на 1 шт., м²</t>
  </si>
  <si>
    <t>По умолчанию: =Геометрия!B22. Можно заменить вручную (единая база для серии).</t>
  </si>
  <si>
    <t>Методика м²</t>
  </si>
  <si>
    <t>верхняя плоскость (L×W)</t>
  </si>
  <si>
    <t>Зафиксируйте для всей серии.</t>
  </si>
  <si>
    <t>Методика м.п.</t>
  </si>
  <si>
    <t>по длине L</t>
  </si>
  <si>
    <t>База м.п. на 1 шт., м</t>
  </si>
  <si>
    <t>По умолчанию: =Геометрия!B23. Можно заменить вручную (единая база для серии).</t>
  </si>
  <si>
    <t>Электроэнергия, руб/кВт·ч</t>
  </si>
  <si>
    <t>Коэф. страховых взносов на ФОТ (пример)</t>
  </si>
  <si>
    <t>НДС (ставка 2025), доля</t>
  </si>
  <si>
    <t>Накладные расходы (от ФОТ рабочих), доля</t>
  </si>
  <si>
    <t>Прибыль (от себестоимости), доля</t>
  </si>
  <si>
    <t>Резерв на технологические риски/брак, доля</t>
  </si>
  <si>
    <t>коэф. на риск длины&gt;5 м, профиль R25, двойная отделка</t>
  </si>
  <si>
    <t>ГЕОМЕТРИЯ, ОБЪЕМЫ И ПЛОЩАДИ</t>
  </si>
  <si>
    <t>Параметр</t>
  </si>
  <si>
    <t>Значение</t>
  </si>
  <si>
    <t>Формула/источник</t>
  </si>
  <si>
    <t>Расчет потребности в сырье (гранитный блок)</t>
  </si>
  <si>
    <t>Длина L, м</t>
  </si>
  <si>
    <t>из ТЗ</t>
  </si>
  <si>
    <t>Коэф. Припусков</t>
  </si>
  <si>
    <t>Ширина W, м</t>
  </si>
  <si>
    <t>Коэф. отбора/брака</t>
  </si>
  <si>
    <t>Толщина T, м</t>
  </si>
  <si>
    <t>Тех. Запас</t>
  </si>
  <si>
    <t>Объем чистый V_net, м³ (1 шт)</t>
  </si>
  <si>
    <t>L×W×T</t>
  </si>
  <si>
    <t>Потребность объема сырья, м³ (на партию)</t>
  </si>
  <si>
    <t>Площадь верхней плоскости, м²</t>
  </si>
  <si>
    <t>L×W</t>
  </si>
  <si>
    <t>Потребность объема сырья, м³ (на 1 шт)</t>
  </si>
  <si>
    <t>Площадь нижней плоскости, м²</t>
  </si>
  <si>
    <t>Стоимость сырья, руб (на партию)</t>
  </si>
  <si>
    <t>Площадь лицевой (передней) грани, м²</t>
  </si>
  <si>
    <t>L×T</t>
  </si>
  <si>
    <t>Стоимость сырья, руб (на 1 шт)</t>
  </si>
  <si>
    <t>Площадь тыльной грани, м²</t>
  </si>
  <si>
    <t>Площадь торцов (2 шт), м²</t>
  </si>
  <si>
    <t>2×W×T</t>
  </si>
  <si>
    <t>Полная площадь всех граней, м²</t>
  </si>
  <si>
    <t>сумма</t>
  </si>
  <si>
    <t>Длина профиля R25 (фронт + торцы), пог.м</t>
  </si>
  <si>
    <t>L + 2×W</t>
  </si>
  <si>
    <t>Периметр для калибровки/кромок (все ребра), пог.м</t>
  </si>
  <si>
    <t>12 ребер</t>
  </si>
  <si>
    <t>Масса 1 шт, кг</t>
  </si>
  <si>
    <t>V_net×плотность</t>
  </si>
  <si>
    <t/>
  </si>
  <si>
    <t>Объем чистый на партию, м³</t>
  </si>
  <si>
    <t>V_net×кол-во</t>
  </si>
  <si>
    <t>Масса партии, кг</t>
  </si>
  <si>
    <t>масса×кол-во</t>
  </si>
  <si>
    <t>Площадь для удельной стоимости, м² (на 1 шт)</t>
  </si>
  <si>
    <t>по умолчанию: верхняя плоскость (B9). Можно заменить, напр., на B14.</t>
  </si>
  <si>
    <t>Длина для удельной стоимости, м.п. (на 1 шт)</t>
  </si>
  <si>
    <t>по умолчанию: длина L (B5). Можно заменить, напр., на B15 или B16.</t>
  </si>
  <si>
    <t>РАЗДЕЛ 1 — МАТЕРИАЛЫ, ИНСТРУМЕНТ, УПАКОВКА</t>
  </si>
  <si>
    <t>Требование: каждая статья имеет формулу количества и реквизит подтверждающего документа (может быть заполнен позже).</t>
  </si>
  <si>
    <t>№</t>
  </si>
  <si>
    <t>Наименование (полное)</t>
  </si>
  <si>
    <t>Ед.</t>
  </si>
  <si>
    <t>Кол-во (партия)</t>
  </si>
  <si>
    <t>Цена, руб/ед</t>
  </si>
  <si>
    <t>Сумма, руб</t>
  </si>
  <si>
    <t>Подтв. документ</t>
  </si>
  <si>
    <t>Норматив/основание</t>
  </si>
  <si>
    <t>Формула/расчет количества</t>
  </si>
  <si>
    <t>Комментарий</t>
  </si>
  <si>
    <t>Гранитный блок/сырье месторождения "Delikato light" (подбор по оттенку/зернистости, мин. жилы/микротрещины)</t>
  </si>
  <si>
    <t>м³</t>
  </si>
  <si>
    <t>КП/счет поставщика</t>
  </si>
  <si>
    <t>ТЗ; расчет объема сырья</t>
  </si>
  <si>
    <t>V_партии = V_net×k_allow×k_reject×k_reserve</t>
  </si>
  <si>
    <t>Коэф. отбора/брака учитывает отбор и повышенный брак.</t>
  </si>
  <si>
    <t>Алмазные диски/канат (износ на распиловку)</t>
  </si>
  <si>
    <t>компл</t>
  </si>
  <si>
    <t>КП поставщика</t>
  </si>
  <si>
    <t>внутр. норма износа</t>
  </si>
  <si>
    <t>1 компл на партию (учет повыш. износа)</t>
  </si>
  <si>
    <t>Включено как амортизируемый расход на инструмент.</t>
  </si>
  <si>
    <t>Алмазные фрезы/профильные головки (износ)</t>
  </si>
  <si>
    <t>1 компл на партию</t>
  </si>
  <si>
    <t>Износ инструмента при фрезеровке/профилировании.</t>
  </si>
  <si>
    <t>Бучардировочные головы (пневмо), расход</t>
  </si>
  <si>
    <t>шт</t>
  </si>
  <si>
    <t>ресурс головы</t>
  </si>
  <si>
    <t>30 м²/голову, 0.2 м² / 30 = 0 шт</t>
  </si>
  <si>
    <t>Расход зависит от требуемой фактуры.</t>
  </si>
  <si>
    <t>Абразивы/шлифкруги/черепашки для лощения (набор зернистостей)</t>
  </si>
  <si>
    <t>1 компл на шт</t>
  </si>
  <si>
    <t>4 компл на 4 шт</t>
  </si>
  <si>
    <t>Включая ручную доводку переходов.</t>
  </si>
  <si>
    <t>Химия и расходники: СОЖ, чистящие средства, ветошь</t>
  </si>
  <si>
    <t>внутр. лимит/смета</t>
  </si>
  <si>
    <t>лимит на шт</t>
  </si>
  <si>
    <t>1 компл/шт</t>
  </si>
  <si>
    <t>Для мойки/сушки между операциями.</t>
  </si>
  <si>
    <t>Защитные материалы для разделения зон отделки (скотч, пленка)</t>
  </si>
  <si>
    <t>счет</t>
  </si>
  <si>
    <t>Защита зон лощения при бучардировании.</t>
  </si>
  <si>
    <t>Упаковка: тара, прокладки, амортизаторы, уголки</t>
  </si>
  <si>
    <t>КП/смета тары</t>
  </si>
  <si>
    <t>по чертежу упаковки</t>
  </si>
  <si>
    <t>1 короб/шт</t>
  </si>
  <si>
    <t>Упаковка для транспортировки партии.</t>
  </si>
  <si>
    <t>Маркировка/бирки/стрейч/скотч/ремни крепления</t>
  </si>
  <si>
    <t>Маркировка, защита кромок.</t>
  </si>
  <si>
    <t>СИЗ по операциям (очки, перчатки, респираторы, беруши) — расход</t>
  </si>
  <si>
    <t>Пылевые операции (бучардирование/шлифование).</t>
  </si>
  <si>
    <t>ИТОГО материалы, руб:</t>
  </si>
  <si>
    <t>РАЗДЕЛ 3 — ТЕХНОЛОГИЧЕСКИЕ ОПЕРАЦИИ (ТРУД И МАШИННОЕ ВРЕМЯ)</t>
  </si>
  <si>
    <t>Трудозатраты нормированы по операциям. Машинное время включает переналадку и межоперационные простои.</t>
  </si>
  <si>
    <t>Операция</t>
  </si>
  <si>
    <t>Содержание/примечание</t>
  </si>
  <si>
    <t>Оборудование</t>
  </si>
  <si>
    <t>Исполнитель (роль)</t>
  </si>
  <si>
    <t>Установки/перевороты</t>
  </si>
  <si>
    <t>Чел-час/шт.</t>
  </si>
  <si>
    <t>Чел-час/партия</t>
  </si>
  <si>
    <t>ФОТ, руб</t>
  </si>
  <si>
    <t>Страх.взносы, руб</t>
  </si>
  <si>
    <t>Маш-ч/шт.</t>
  </si>
  <si>
    <t>Маш-ч/партия</t>
  </si>
  <si>
    <t>Тариф, руб/маш-ч</t>
  </si>
  <si>
    <t>Маш.затраты, руб</t>
  </si>
  <si>
    <t>Мощн., кВт</t>
  </si>
  <si>
    <t>кВт·ч/шт.</t>
  </si>
  <si>
    <t>Энергия, руб</t>
  </si>
  <si>
    <t>Итого прямые, руб</t>
  </si>
  <si>
    <t>Входной контроль сырья</t>
  </si>
  <si>
    <t>Проверка сопроводительных документов, визуальный осмотр, фиксация дефектов; маркировка партии</t>
  </si>
  <si>
    <t>ТЗ/внутр. регламент входного контроля</t>
  </si>
  <si>
    <t>1 перемещение</t>
  </si>
  <si>
    <t>Высокая категория: доп. проверка дефектов/текстуры.</t>
  </si>
  <si>
    <t>Сортировка по оттенку и зернистости, отбраковка жил/микротрещин</t>
  </si>
  <si>
    <t>Подбор однородной партии с технологическим запасом; отбраковка по дефектам</t>
  </si>
  <si>
    <t>ТЗ; требования 1 кат.</t>
  </si>
  <si>
    <t>—</t>
  </si>
  <si>
    <t>Повышенный k_reject подтверждается трудозатратами на сортировку.</t>
  </si>
  <si>
    <t>Разработка карты раскроя и маршрутной технологии</t>
  </si>
  <si>
    <t>Раскладка заготовок, учет припусков/керфа; план перестановок/переворотов</t>
  </si>
  <si>
    <t>ТК/техрегламент</t>
  </si>
  <si>
    <t>Оптимизация раскроя по карте партии.</t>
  </si>
  <si>
    <t>Перемещение блока/слэба к мостовой пиле, строповка</t>
  </si>
  <si>
    <t>Строповка, перемещение кран-балкой, установка на стол с опорами</t>
  </si>
  <si>
    <t>ФНП/инструкции по строповке</t>
  </si>
  <si>
    <t>2 перемещения</t>
  </si>
  <si>
    <t>Используются траверсы/проставки для исключения прогиба.</t>
  </si>
  <si>
    <t>Распиловка сырья на слэб/заготовки (черновая)</t>
  </si>
  <si>
    <t>Распил с припуском под дальнейший раскрой; контроль перегрева/сколов</t>
  </si>
  <si>
    <t>внутр. нормы/хронометраж</t>
  </si>
  <si>
    <t>1 установка</t>
  </si>
  <si>
    <t>Алмазный инструмент повышенного износа на граните.</t>
  </si>
  <si>
    <t>Межоперационный контроль после распила</t>
  </si>
  <si>
    <t>Контроль трещин/жил, плоскостности слэба, замер толщины, фотофиксация</t>
  </si>
  <si>
    <t>регламент ОТК</t>
  </si>
  <si>
    <t>Отбраковка до дорогостоящей мехобработки.</t>
  </si>
  <si>
    <t>Раскрой слэба на заготовки изделий + технологический запас</t>
  </si>
  <si>
    <t>Раскрой с учетом припусков на калибровку и профилирование; минимизация сколов торцов</t>
  </si>
  <si>
    <t>Длина&gt;5 м требует опор по всей длине.</t>
  </si>
  <si>
    <t>Калибровка плоскостей и толщины</t>
  </si>
  <si>
    <t>Калибровка лицевых плоскостей; обеспечение плоскостности и параллельности</t>
  </si>
  <si>
    <t>2 установки/1 переворот</t>
  </si>
  <si>
    <t>Включая перестановки и дополнительный замер длинной детали.</t>
  </si>
  <si>
    <t>Контроль толщины/плоскостности после калибровки</t>
  </si>
  <si>
    <t>Замер толщины по сетке точек, контроль плоскостности линейкой/щупом, протокол</t>
  </si>
  <si>
    <t>Архитектурная 1 кат.: усиленный контроль.</t>
  </si>
  <si>
    <t>Настройка/верификация программы ЧПУ</t>
  </si>
  <si>
    <t>Проверка траектории, ограничений по вылету, тестовый проход; установка нуля</t>
  </si>
  <si>
    <t>CAM/внутр. регламент</t>
  </si>
  <si>
    <t>Снижение риска брака на операции профиля/капельника.</t>
  </si>
  <si>
    <t>Черновое формообразование (контур, посадочные плоскости)</t>
  </si>
  <si>
    <t>Фрезеровка контура и базовых плоскостей; формирование конфигурации изделия</t>
  </si>
  <si>
    <t>Длина 5,15 м — повышенные требования к жесткости зажима.</t>
  </si>
  <si>
    <t>Переворот/перестановка изделия на кромкообработку</t>
  </si>
  <si>
    <t>Переворот кран-балкой, установка на роликовые опоры, защита кромок</t>
  </si>
  <si>
    <t>инструкция строповки</t>
  </si>
  <si>
    <t>1 переворот</t>
  </si>
  <si>
    <t>Риск сколов — применение мягких строп/прокладок.</t>
  </si>
  <si>
    <t>Изготовление профиля (капельник) по длине</t>
  </si>
  <si>
    <t>Профильная обработка кромки; несколько проходов с контролем радиуса и чистоты</t>
  </si>
  <si>
    <t>2 прохода</t>
  </si>
  <si>
    <t>Критическая операция: высокая вероятность брака на длине &gt;5 м.</t>
  </si>
  <si>
    <t>Ручная доводка профиля и переходов</t>
  </si>
  <si>
    <t>Шаблоны/калибры, ручная шлифовка переходов, снятие рисок</t>
  </si>
  <si>
    <t>хронометраж/норма</t>
  </si>
  <si>
    <t>Усиление стоимости за счет ручной доводки 1 категории.</t>
  </si>
  <si>
    <t>Зачистка после калибровки/профиля, устранение микросколов</t>
  </si>
  <si>
    <t>Локальная шлифовка, подклейка/ремонт при необходимости, доведение кромок</t>
  </si>
  <si>
    <t>Контроль микросколов при перемещениях.</t>
  </si>
  <si>
    <t>Подготовка к лощению (абразивы, настройка)</t>
  </si>
  <si>
    <t>Подбор зернистостей, смена кругов/черепашек, технологическая мойка</t>
  </si>
  <si>
    <t>техрегламент</t>
  </si>
  <si>
    <t>Межоперационная подготовка.</t>
  </si>
  <si>
    <t>Лощение лицевых поверхностей</t>
  </si>
  <si>
    <t>Лощение вертикальных граней и участков по проекту; контроль равномерности блеска/матовости</t>
  </si>
  <si>
    <t>Дополнительная правка по зоне контакта.</t>
  </si>
  <si>
    <t>Ручная шлифовка переходов после лощения</t>
  </si>
  <si>
    <t>Обработка углов/торцов, выведение переходов отделок, устранение «ступенек»</t>
  </si>
  <si>
    <t>Архитектурная 1 кат.: повышенная требовательность.</t>
  </si>
  <si>
    <t>Мойка, сушка, консервация к отгрузке</t>
  </si>
  <si>
    <t>Промывка, сушка, защита поверхности от загрязнений и высолов при перевозке</t>
  </si>
  <si>
    <t>Используются чистящие средства/ветошь (см. материалы).</t>
  </si>
  <si>
    <t>Контроль геометрии и профиля (промежуточный/финальный)</t>
  </si>
  <si>
    <t>Контроль длины, прямолинейности, плоскостности, радиуса по шаблону; оформление протокола</t>
  </si>
  <si>
    <t>Учитывает замеры по сетке точек на длине изделия.</t>
  </si>
  <si>
    <t>Комплектация партии и визуальный подбор</t>
  </si>
  <si>
    <t>Сравнение оттенка/зернистости в партии, маркировка последовательности монтажа</t>
  </si>
  <si>
    <t>ТЗ</t>
  </si>
  <si>
    <t>Отдельная операция, подтверждающая требования к подбору.</t>
  </si>
  <si>
    <t>Изготовление тары для партии изделий</t>
  </si>
  <si>
    <t>Изготовление/сборка коробов, распорки, амортизаторы, упоры</t>
  </si>
  <si>
    <t>чертеж тары/норма</t>
  </si>
  <si>
    <t>Тара усиливается под массу изделия.</t>
  </si>
  <si>
    <t>Упаковка изделия, фиксация в коробе, маркировка</t>
  </si>
  <si>
    <t>Укладка на прокладки, фиксация, защита кромок, маркировка, фотофиксация</t>
  </si>
  <si>
    <t>регламент упаковки</t>
  </si>
  <si>
    <t>Включая крановые операции для укладки в короб.</t>
  </si>
  <si>
    <t>Погрузка на транспорт и крепление</t>
  </si>
  <si>
    <t>Погрузка краном, крепление ремнями, проверка устойчивости в кузове</t>
  </si>
  <si>
    <t>инструкция погрузки</t>
  </si>
  <si>
    <t>Фиксация от изгиба/перекоса при погрузке.</t>
  </si>
  <si>
    <t>ИТОГО по операциям</t>
  </si>
  <si>
    <t>НАКЛАДНЫЕ РАСХОДЫ, РЕЗЕРВЫ И ПРИБЫЛЬ</t>
  </si>
  <si>
    <t>База начисления раскрыта формулами. Проценты — во вводных данных.</t>
  </si>
  <si>
    <t>Показатель</t>
  </si>
  <si>
    <t>Формула/комментарий</t>
  </si>
  <si>
    <t>Материалы, руб</t>
  </si>
  <si>
    <t>Раздел 1</t>
  </si>
  <si>
    <t>Прямые затраты по операциям, руб</t>
  </si>
  <si>
    <t>ФОТ + взносы + машины + энергия</t>
  </si>
  <si>
    <t>База накладных (ФОТ+страх.взносы), руб</t>
  </si>
  <si>
    <t>Принята база начисления</t>
  </si>
  <si>
    <t>Накладные расходы, руб</t>
  </si>
  <si>
    <t>Накладные = база × %</t>
  </si>
  <si>
    <t>Промежуточная себестоимость, руб</t>
  </si>
  <si>
    <t>Материалы + операции + накладные</t>
  </si>
  <si>
    <t>Резерв на технологические риски/брак, руб</t>
  </si>
  <si>
    <t>Длина&gt;5 м, профиль R25, двойная отделка</t>
  </si>
  <si>
    <t>Себестоимость с резервом, руб</t>
  </si>
  <si>
    <t>Прибыль, руб</t>
  </si>
  <si>
    <t>Прибыль = себестоимость × %</t>
  </si>
  <si>
    <t>ИТОГО (себестоимость+прибыль), руб</t>
  </si>
  <si>
    <t>Без учета логистики</t>
  </si>
  <si>
    <t>РАЗДЕЛ 2 — ЛОГИСТИКА</t>
  </si>
  <si>
    <t>Расчет: расстояние × ставка × рейсы + погрузка/разгрузка + страхование груза.</t>
  </si>
  <si>
    <t>Примечание/источник/документ</t>
  </si>
  <si>
    <t>Расстояние, км</t>
  </si>
  <si>
    <t>дорожное расстояние</t>
  </si>
  <si>
    <t>Кол-во рейсов</t>
  </si>
  <si>
    <t>автомобиль для перевозки партии</t>
  </si>
  <si>
    <t>Тариф, руб/км (выделенный транспорт)</t>
  </si>
  <si>
    <t>редактируемый параметр</t>
  </si>
  <si>
    <t>Погрузка (кран/манипулятор), руб</t>
  </si>
  <si>
    <t>кран, стропальщики, время</t>
  </si>
  <si>
    <t>Разгрузка (кран/манипулятор), руб</t>
  </si>
  <si>
    <t>работа с такелажем</t>
  </si>
  <si>
    <t>Страхование/ответственность перевозчика, % от стоимости</t>
  </si>
  <si>
    <t>страховой тариф</t>
  </si>
  <si>
    <t>Перевозка (расстояние×тариф×рейсы), руб</t>
  </si>
  <si>
    <t>Расстояние × руб/км × рейсы</t>
  </si>
  <si>
    <t>Погрузка, руб</t>
  </si>
  <si>
    <t>Разгрузка, руб</t>
  </si>
  <si>
    <t>Страхование, руб</t>
  </si>
  <si>
    <t>База: (себестоимость+прибыль) × %</t>
  </si>
  <si>
    <t>ИТОГО логистика, руб</t>
  </si>
  <si>
    <t>Сумма раздела 2</t>
  </si>
  <si>
    <t>ИТОГОВАЯ СТОИМОСТЬ</t>
  </si>
  <si>
    <t>Значение, руб</t>
  </si>
  <si>
    <t>Материалы (раздел 1)</t>
  </si>
  <si>
    <t>Прямые затраты по операциям (раздел 3)</t>
  </si>
  <si>
    <t>Накладные расходы</t>
  </si>
  <si>
    <t>Резерв на риски/брак</t>
  </si>
  <si>
    <t>Прибыль</t>
  </si>
  <si>
    <t>ИТОГО производственная часть (без логистики)</t>
  </si>
  <si>
    <t>Логистика (раздел 2)</t>
  </si>
  <si>
    <t>ИТОГО без НДС</t>
  </si>
  <si>
    <t>НДС</t>
  </si>
  <si>
    <t>ИТОГО с НДС</t>
  </si>
  <si>
    <t>Стоимость 1 шт. без НДС</t>
  </si>
  <si>
    <t>Стоимость 1 шт. с НДС</t>
  </si>
  <si>
    <t>Вводные_данные!B23 (база м²/1шт) × кол-во; методика: Вводные_данные!E23</t>
  </si>
  <si>
    <t>Вводные_данные!B24 (база м.п./1шт) × кол-во; методика: Вводные_данные!H23</t>
  </si>
  <si>
    <t>СПРАВОЧНИКИ И ВЫПАДАЮЩИЕ СПИСКИ</t>
  </si>
  <si>
    <t>Фактура</t>
  </si>
  <si>
    <t>Сложность</t>
  </si>
  <si>
    <t>лощение</t>
  </si>
  <si>
    <t>простая прямоугольная</t>
  </si>
  <si>
    <t>лицевая грань (L×T)</t>
  </si>
  <si>
    <t>длина профиля (L+2W)</t>
  </si>
  <si>
    <t>бучардирование+лощение</t>
  </si>
  <si>
    <t>фигурная с радиусами</t>
  </si>
  <si>
    <t>полная площадь всех граней</t>
  </si>
  <si>
    <t>периметр (все ребра)</t>
  </si>
  <si>
    <t>рельефная матовая</t>
  </si>
  <si>
    <t>сегментная радиусная</t>
  </si>
  <si>
    <t>площадь бучардирования</t>
  </si>
  <si>
    <t>полировка</t>
  </si>
  <si>
    <t>объёмная с профилем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</si>
</sst>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0.000000"/>
  </numFmts>
  <fonts count="5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sz val="10"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0" fillId="2" borderId="0" xfId="0" applyFill="1"/>
    <xf numFmtId="0" fontId="3" fillId="0" borderId="0" xfId="0" applyFont="1"/>
    <xf numFmtId="4" fontId="0" fillId="2" borderId="0" xfId="0" applyNumberFormat="1" applyFill="1"/>
    <xf numFmtId="164" fontId="0" fillId="2" borderId="0" xfId="0" applyNumberFormat="1" applyFill="1"/>
    <xf numFmtId="0" fontId="3" fillId="0" borderId="1" xfId="0" applyFont="1" applyBorder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4" fontId="0" fillId="0" borderId="1" xfId="0" applyNumberFormat="1" applyBorder="1"/>
    <xf numFmtId="164" fontId="0" fillId="0" borderId="0" xfId="0" applyNumberFormat="1"/>
    <xf numFmtId="0" fontId="3" fillId="3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165" fontId="0" fillId="2" borderId="1" xfId="0" applyNumberFormat="1" applyFill="1" applyBorder="1"/>
    <xf numFmtId="4" fontId="0" fillId="2" borderId="1" xfId="0" applyNumberFormat="1" applyFill="1" applyBorder="1"/>
    <xf numFmtId="1" fontId="0" fillId="2" borderId="1" xfId="0" applyNumberFormat="1" applyFill="1" applyBorder="1"/>
    <xf numFmtId="4" fontId="2" fillId="0" borderId="1" xfId="0" applyNumberFormat="1" applyFont="1" applyBorder="1"/>
    <xf numFmtId="0" fontId="3" fillId="3" borderId="1" xfId="0" applyFont="1" applyFill="1" applyBorder="1" applyAlignment="1">
      <alignment vertical="center" wrapText="1"/>
    </xf>
    <xf numFmtId="0" fontId="0" fillId="2" borderId="1" xfId="0" applyFill="1" applyBorder="1"/>
    <xf numFmtId="0" fontId="3" fillId="3" borderId="1" xfId="0" applyFont="1" applyFill="1" applyBorder="1"/>
    <xf numFmtId="0" fontId="2" fillId="0" borderId="1" xfId="0" applyFont="1" applyBorder="1"/>
    <xf numFmtId="0" fontId="4" fillId="0" borderId="1" xfId="0" applyFont="1" applyBorder="1"/>
    <xf numFmtId="4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35" customWidth="1"/>
    <col min="2" max="2" width="80" customWidth="1"/>
  </cols>
  <sheetData>
    <row r="1" ht="90" customHeight="1" spans="2:2" x14ac:dyDescent="0.25">
      <c r="B1" s="1" t="s">
        <v>0</v>
      </c>
    </row>
    <row r="2" spans="1:1" x14ac:dyDescent="0.25">
      <c r="A2" s="2" t="s">
        <v>1</v>
      </c>
    </row>
    <row r="3" ht="50" customHeight="1" spans="1:2" x14ac:dyDescent="0.25">
      <c r="A3" s="3" t="s">
        <v>2</v>
      </c>
      <c r="B3" s="4">
        <f>Вводные_данные!$B$5</f>
      </c>
    </row>
    <row r="4" spans="1:2" x14ac:dyDescent="0.25">
      <c r="A4" s="3" t="s">
        <v>3</v>
      </c>
      <c r="B4">
        <f>Вводные_данные!$B$11</f>
      </c>
    </row>
    <row r="5" spans="1:2" x14ac:dyDescent="0.25">
      <c r="A5" s="3" t="s">
        <v>4</v>
      </c>
      <c r="B5">
        <f>TEXT(Вводные_данные!$B$7,"0")&amp;" × "&amp;TEXT(Вводные_данные!$B$8,"0")&amp;" × "&amp;TEXT(Вводные_данные!$B$9,"0")</f>
      </c>
    </row>
    <row r="6" spans="1:2" x14ac:dyDescent="0.25">
      <c r="A6" s="3" t="s">
        <v>5</v>
      </c>
      <c r="B6">
        <f>TEXT(Вводные_данные!$B$6,"0")&amp;" шт."</f>
      </c>
    </row>
    <row r="7" spans="1:2" x14ac:dyDescent="0.25">
      <c r="A7" s="3" t="s">
        <v>6</v>
      </c>
      <c r="B7">
        <f>Вводные_данные!$B$12</f>
      </c>
    </row>
    <row r="8" spans="1:2" x14ac:dyDescent="0.25">
      <c r="A8" s="3" t="s">
        <v>7</v>
      </c>
      <c r="B8" t="s">
        <v>8</v>
      </c>
    </row>
    <row r="10" spans="1:2" x14ac:dyDescent="0.25">
      <c r="A10" t="s">
        <v>9</v>
      </c>
      <c r="B10" t="s">
        <v>10</v>
      </c>
    </row>
    <row r="11" spans="1:2" x14ac:dyDescent="0.25">
      <c r="A11" t="s">
        <v>11</v>
      </c>
      <c r="B11" t="s">
        <v>10</v>
      </c>
    </row>
    <row r="12" spans="1:2" x14ac:dyDescent="0.25">
      <c r="A12" t="s">
        <v>12</v>
      </c>
      <c r="B12" t="s">
        <v>10</v>
      </c>
    </row>
    <row r="14" spans="1:2" x14ac:dyDescent="0.25">
      <c r="A14" t="s">
        <v>13</v>
      </c>
      <c r="B14">
        <f>TEXT(TODAY(),"dd.mm.yyyy")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15" outlineLevelRow="0" outlineLevelCol="0" x14ac:dyDescent="55"/>
  <cols>
    <col min="1" max="1" width="6" customWidth="1"/>
    <col min="2" max="2" width="60" customWidth="1"/>
    <col min="3" max="8" width="30" customWidth="1"/>
  </cols>
  <sheetData>
    <row r="1" spans="1:8" x14ac:dyDescent="0.25">
      <c r="A1" s="2" t="s">
        <v>14</v>
      </c>
      <c r="B1" s="2"/>
      <c r="C1" s="2"/>
      <c r="D1" s="2"/>
      <c r="E1" s="2"/>
      <c r="F1" s="2"/>
      <c r="G1" s="2"/>
      <c r="H1" s="2"/>
    </row>
    <row r="3" spans="1:8" x14ac:dyDescent="0.25">
      <c r="A3" t="s">
        <v>15</v>
      </c>
      <c r="B3"/>
      <c r="C3"/>
      <c r="D3"/>
      <c r="E3"/>
      <c r="F3"/>
      <c r="G3"/>
      <c r="H3"/>
    </row>
    <row r="5" spans="1:8" x14ac:dyDescent="0.25">
      <c r="A5" t="s">
        <v>16</v>
      </c>
      <c r="B5" t="s">
        <v>17</v>
      </c>
      <c r="C5" t="s">
        <v>18</v>
      </c>
      <c r="D5"/>
      <c r="E5"/>
      <c r="F5"/>
      <c r="G5"/>
      <c r="H5"/>
    </row>
    <row r="6" spans="1:8" x14ac:dyDescent="0.25">
      <c r="A6" t="s">
        <v>19</v>
      </c>
      <c r="B6" t="s">
        <v>20</v>
      </c>
      <c r="C6" t="s">
        <v>21</v>
      </c>
      <c r="D6"/>
      <c r="E6"/>
      <c r="F6"/>
      <c r="G6"/>
      <c r="H6"/>
    </row>
    <row r="7" spans="1:8" x14ac:dyDescent="0.25">
      <c r="A7" t="s">
        <v>22</v>
      </c>
      <c r="B7" t="s">
        <v>23</v>
      </c>
      <c r="C7" t="s">
        <v>24</v>
      </c>
      <c r="D7"/>
      <c r="E7"/>
      <c r="F7"/>
      <c r="G7"/>
      <c r="H7"/>
    </row>
    <row r="8" spans="1:8" x14ac:dyDescent="0.25">
      <c r="A8" t="s">
        <v>25</v>
      </c>
      <c r="B8" t="s">
        <v>26</v>
      </c>
      <c r="C8" t="s">
        <v>27</v>
      </c>
      <c r="D8"/>
      <c r="E8"/>
      <c r="F8"/>
      <c r="G8"/>
      <c r="H8"/>
    </row>
    <row r="9" spans="1:8" x14ac:dyDescent="0.25">
      <c r="A9" t="s">
        <v>28</v>
      </c>
      <c r="B9" t="s">
        <v>29</v>
      </c>
      <c r="C9" t="s">
        <v>30</v>
      </c>
      <c r="D9"/>
      <c r="E9"/>
      <c r="F9"/>
      <c r="G9"/>
      <c r="H9"/>
    </row>
    <row r="10" spans="1:8" x14ac:dyDescent="0.25">
      <c r="A10" t="s">
        <v>31</v>
      </c>
      <c r="B10" t="s">
        <v>32</v>
      </c>
      <c r="C10" t="s">
        <v>33</v>
      </c>
      <c r="D10"/>
      <c r="E10"/>
      <c r="F10"/>
      <c r="G10"/>
      <c r="H10"/>
    </row>
    <row r="11" spans="1:8" x14ac:dyDescent="0.25">
      <c r="A11" t="s">
        <v>34</v>
      </c>
      <c r="B11" t="s">
        <v>35</v>
      </c>
      <c r="C11" t="s">
        <v>36</v>
      </c>
      <c r="D11"/>
      <c r="E11"/>
      <c r="F11"/>
      <c r="G11"/>
      <c r="H11"/>
    </row>
    <row r="12" spans="1:8" x14ac:dyDescent="0.25">
      <c r="A12" t="s">
        <v>37</v>
      </c>
      <c r="B12" t="s">
        <v>38</v>
      </c>
      <c r="C12" t="s">
        <v>39</v>
      </c>
      <c r="D12"/>
      <c r="E12"/>
      <c r="F12"/>
      <c r="G12"/>
      <c r="H12"/>
    </row>
    <row r="13" spans="1:8" x14ac:dyDescent="0.25">
      <c r="A13" t="s">
        <v>40</v>
      </c>
      <c r="B13" t="s">
        <v>41</v>
      </c>
      <c r="C13" t="s">
        <v>42</v>
      </c>
      <c r="D13"/>
      <c r="E13"/>
      <c r="F13"/>
      <c r="G13"/>
      <c r="H13"/>
    </row>
    <row r="14" spans="1:8" x14ac:dyDescent="0.25">
      <c r="A14" t="s">
        <v>43</v>
      </c>
      <c r="B14" t="s">
        <v>44</v>
      </c>
      <c r="C14" t="s">
        <v>45</v>
      </c>
      <c r="D14"/>
      <c r="E14"/>
      <c r="F14"/>
      <c r="G14"/>
      <c r="H14"/>
    </row>
    <row r="15" spans="1:8" x14ac:dyDescent="0.25">
      <c r="A15" t="s">
        <v>46</v>
      </c>
      <c r="B15" t="s">
        <v>47</v>
      </c>
      <c r="C15" t="s">
        <v>48</v>
      </c>
      <c r="D15"/>
      <c r="E15"/>
      <c r="F15"/>
      <c r="G15"/>
      <c r="H15"/>
    </row>
    <row r="18" spans="1:8" x14ac:dyDescent="0.25">
      <c r="A18" s="3" t="s">
        <v>49</v>
      </c>
      <c r="B18" t="s">
        <v>50</v>
      </c>
      <c r="C18"/>
      <c r="D18"/>
      <c r="E18"/>
      <c r="F18"/>
      <c r="G18"/>
      <c r="H18"/>
    </row>
  </sheetData>
  <mergeCells count="14">
    <mergeCell ref="A1:H1"/>
    <mergeCell ref="A3:H3"/>
    <mergeCell ref="C5:H5"/>
    <mergeCell ref="C6:H6"/>
    <mergeCell ref="C7:H7"/>
    <mergeCell ref="C8:H8"/>
    <mergeCell ref="C9:H9"/>
    <mergeCell ref="C10:H10"/>
    <mergeCell ref="C11:H11"/>
    <mergeCell ref="C12:H12"/>
    <mergeCell ref="C13:H13"/>
    <mergeCell ref="C14:H14"/>
    <mergeCell ref="C15:H15"/>
    <mergeCell ref="B18:H1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FormatPr defaultRowHeight="15" outlineLevelRow="0" outlineLevelCol="0" x14ac:dyDescent="55"/>
  <cols>
    <col min="1" max="1" width="35" customWidth="1"/>
    <col min="2" max="2" width="40" customWidth="1"/>
    <col min="3" max="3" width="50" customWidth="1"/>
    <col min="4" max="4" width="40" customWidth="1"/>
    <col min="5" max="5" width="18" customWidth="1"/>
    <col min="6" max="6" width="30" customWidth="1"/>
    <col min="7" max="7" width="18" customWidth="1"/>
    <col min="8" max="10" width="15" customWidth="1"/>
  </cols>
  <sheetData>
    <row r="1" spans="1:10" x14ac:dyDescent="0.25">
      <c r="A1" s="2" t="s">
        <v>51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52</v>
      </c>
      <c r="B2"/>
      <c r="C2"/>
      <c r="D2"/>
      <c r="E2"/>
      <c r="F2"/>
      <c r="G2"/>
      <c r="H2"/>
      <c r="I2"/>
      <c r="J2"/>
    </row>
    <row r="4" spans="1:6" x14ac:dyDescent="0.25">
      <c r="A4" s="3" t="s">
        <v>53</v>
      </c>
      <c r="B4" s="3"/>
      <c r="D4" s="3" t="s">
        <v>54</v>
      </c>
      <c r="E4" s="3"/>
      <c r="F4" s="3"/>
    </row>
    <row r="5" ht="40" customHeight="1" spans="1:5" x14ac:dyDescent="0.25">
      <c r="A5" t="s">
        <v>55</v>
      </c>
      <c r="B5" s="4" t="s">
        <v>56</v>
      </c>
      <c r="D5" t="s">
        <v>57</v>
      </c>
      <c r="E5" s="5">
        <v>2700</v>
      </c>
    </row>
    <row r="6" spans="1:5" x14ac:dyDescent="0.25">
      <c r="A6" t="s">
        <v>58</v>
      </c>
      <c r="B6" s="5">
        <v>4</v>
      </c>
      <c r="D6" t="s">
        <v>59</v>
      </c>
      <c r="E6" s="5">
        <v>1.2</v>
      </c>
    </row>
    <row r="7" spans="1:5" x14ac:dyDescent="0.25">
      <c r="A7" t="s">
        <v>60</v>
      </c>
      <c r="B7" s="5">
        <v>205</v>
      </c>
      <c r="D7" t="s">
        <v>61</v>
      </c>
      <c r="E7" s="5">
        <v>1.4</v>
      </c>
    </row>
    <row r="8" spans="1:5" x14ac:dyDescent="0.25">
      <c r="A8" t="s">
        <v>62</v>
      </c>
      <c r="B8" s="5">
        <v>205</v>
      </c>
      <c r="D8" t="s">
        <v>63</v>
      </c>
      <c r="E8" s="5">
        <v>1.05</v>
      </c>
    </row>
    <row r="9" spans="1:5" x14ac:dyDescent="0.25">
      <c r="A9" t="s">
        <v>64</v>
      </c>
      <c r="B9" s="5">
        <v>590</v>
      </c>
      <c r="D9" t="s">
        <v>65</v>
      </c>
      <c r="E9" s="5">
        <v>642000</v>
      </c>
    </row>
    <row r="10" spans="1:2" x14ac:dyDescent="0.25">
      <c r="A10" t="s">
        <v>66</v>
      </c>
      <c r="B10" s="5">
        <v>1</v>
      </c>
    </row>
    <row r="11" spans="1:2" x14ac:dyDescent="0.25">
      <c r="A11" t="s">
        <v>67</v>
      </c>
      <c r="B11" t="s">
        <v>68</v>
      </c>
    </row>
    <row r="12" spans="1:2" x14ac:dyDescent="0.25">
      <c r="A12" t="s">
        <v>69</v>
      </c>
      <c r="B12" t="s">
        <v>70</v>
      </c>
    </row>
    <row r="13" spans="1:6" x14ac:dyDescent="0.25">
      <c r="A13" s="3" t="s">
        <v>71</v>
      </c>
      <c r="B13" s="3"/>
      <c r="D13" s="3" t="s">
        <v>72</v>
      </c>
      <c r="E13" s="3"/>
      <c r="F13" s="3"/>
    </row>
    <row r="14" spans="1:7" x14ac:dyDescent="0.25">
      <c r="A14" s="6" t="s">
        <v>73</v>
      </c>
      <c r="B14" s="6" t="s">
        <v>74</v>
      </c>
      <c r="D14" s="6" t="s">
        <v>75</v>
      </c>
      <c r="E14" s="6" t="s">
        <v>76</v>
      </c>
      <c r="F14" s="6" t="s">
        <v>77</v>
      </c>
      <c r="G14" s="6" t="s">
        <v>78</v>
      </c>
    </row>
    <row r="15" spans="1:7" x14ac:dyDescent="0.25">
      <c r="A15" t="s">
        <v>79</v>
      </c>
      <c r="B15" s="7">
        <v>609.76</v>
      </c>
      <c r="D15" t="s">
        <v>80</v>
      </c>
      <c r="E15" s="7">
        <v>6500</v>
      </c>
      <c r="F15" t="s">
        <v>81</v>
      </c>
      <c r="G15" s="5">
        <v>25</v>
      </c>
    </row>
    <row r="16" spans="1:7" x14ac:dyDescent="0.25">
      <c r="A16" t="s">
        <v>82</v>
      </c>
      <c r="B16" s="7">
        <v>243.9</v>
      </c>
      <c r="D16" t="s">
        <v>83</v>
      </c>
      <c r="E16" s="7">
        <v>7000</v>
      </c>
      <c r="F16" t="s">
        <v>84</v>
      </c>
      <c r="G16" s="5">
        <v>30</v>
      </c>
    </row>
    <row r="17" spans="1:7" x14ac:dyDescent="0.25">
      <c r="A17" t="s">
        <v>85</v>
      </c>
      <c r="B17" s="7">
        <v>243.9</v>
      </c>
      <c r="D17" t="s">
        <v>86</v>
      </c>
      <c r="E17" s="7">
        <v>8500</v>
      </c>
      <c r="F17" t="s">
        <v>87</v>
      </c>
      <c r="G17" s="5">
        <v>35</v>
      </c>
    </row>
    <row r="18" spans="1:7" x14ac:dyDescent="0.25">
      <c r="A18" t="s">
        <v>88</v>
      </c>
      <c r="B18" s="7">
        <v>176.83</v>
      </c>
      <c r="D18" t="s">
        <v>89</v>
      </c>
      <c r="E18" s="7">
        <v>7200</v>
      </c>
      <c r="F18" t="s">
        <v>90</v>
      </c>
      <c r="G18" s="5">
        <v>20</v>
      </c>
    </row>
    <row r="19" spans="1:7" x14ac:dyDescent="0.25">
      <c r="A19" t="s">
        <v>91</v>
      </c>
      <c r="B19" s="7">
        <v>176.83</v>
      </c>
      <c r="D19" t="s">
        <v>92</v>
      </c>
      <c r="E19" s="7">
        <v>4500</v>
      </c>
      <c r="F19" t="s">
        <v>93</v>
      </c>
      <c r="G19" s="5">
        <v>10</v>
      </c>
    </row>
    <row r="20" spans="1:7" x14ac:dyDescent="0.25">
      <c r="A20" t="s">
        <v>94</v>
      </c>
      <c r="B20" s="7">
        <v>152.44</v>
      </c>
      <c r="D20" t="s">
        <v>95</v>
      </c>
      <c r="E20" s="7">
        <v>6000</v>
      </c>
      <c r="F20" t="s">
        <v>96</v>
      </c>
      <c r="G20" s="5">
        <v>15</v>
      </c>
    </row>
    <row r="21" spans="1:7" x14ac:dyDescent="0.25">
      <c r="A21" t="s">
        <v>97</v>
      </c>
      <c r="B21" s="7">
        <v>176.83</v>
      </c>
      <c r="D21" t="s">
        <v>98</v>
      </c>
      <c r="E21" s="7">
        <v>2000</v>
      </c>
      <c r="F21" t="s">
        <v>99</v>
      </c>
      <c r="G21" s="5">
        <v>5</v>
      </c>
    </row>
    <row r="22" spans="1:9" x14ac:dyDescent="0.25">
      <c r="A22" s="3" t="s">
        <v>100</v>
      </c>
      <c r="B22" s="3"/>
      <c r="C22" s="3"/>
      <c r="D22" s="3" t="s">
        <v>101</v>
      </c>
      <c r="E22" s="3"/>
      <c r="F22" s="3"/>
      <c r="G22" s="3"/>
      <c r="H22" s="3"/>
      <c r="I22" s="3"/>
    </row>
    <row r="23" spans="1:9" x14ac:dyDescent="0.25">
      <c r="A23" t="s">
        <v>102</v>
      </c>
      <c r="B23" s="8">
        <f>Геометрия!$B$22</f>
      </c>
      <c r="C23" t="s">
        <v>103</v>
      </c>
      <c r="D23" t="s">
        <v>104</v>
      </c>
      <c r="E23" t="s">
        <v>105</v>
      </c>
      <c r="F23" t="s">
        <v>106</v>
      </c>
      <c r="G23" t="s">
        <v>107</v>
      </c>
      <c r="H23" t="s">
        <v>108</v>
      </c>
      <c r="I23" t="s">
        <v>106</v>
      </c>
    </row>
    <row r="24" spans="1:5" x14ac:dyDescent="0.25">
      <c r="A24" t="s">
        <v>109</v>
      </c>
      <c r="B24" s="8">
        <f>Геометрия!$B$23</f>
      </c>
      <c r="C24" t="s">
        <v>110</v>
      </c>
      <c r="D24" t="s">
        <v>111</v>
      </c>
      <c r="E24" s="5">
        <v>12</v>
      </c>
    </row>
    <row r="25" spans="4:5" x14ac:dyDescent="0.25">
      <c r="D25" t="s">
        <v>112</v>
      </c>
      <c r="E25" s="5">
        <v>0.302</v>
      </c>
    </row>
    <row r="26" spans="4:5" x14ac:dyDescent="0.25">
      <c r="D26" t="s">
        <v>113</v>
      </c>
      <c r="E26" s="5">
        <v>0.2</v>
      </c>
    </row>
    <row r="27" spans="4:5" x14ac:dyDescent="0.25">
      <c r="D27" t="s">
        <v>114</v>
      </c>
      <c r="E27" s="5">
        <v>1.73</v>
      </c>
    </row>
    <row r="28" spans="4:5" x14ac:dyDescent="0.25">
      <c r="D28" t="s">
        <v>115</v>
      </c>
      <c r="E28" s="5">
        <v>0.34</v>
      </c>
    </row>
    <row r="29" spans="4:6" x14ac:dyDescent="0.25">
      <c r="D29" t="s">
        <v>116</v>
      </c>
      <c r="E29" s="5">
        <v>0.08</v>
      </c>
      <c r="F29" t="s">
        <v>117</v>
      </c>
    </row>
  </sheetData>
  <mergeCells count="8">
    <mergeCell ref="A1:J1"/>
    <mergeCell ref="A2:J2"/>
    <mergeCell ref="A4:B4"/>
    <mergeCell ref="D4:F4"/>
    <mergeCell ref="A13:B13"/>
    <mergeCell ref="D13:F13"/>
    <mergeCell ref="A22:C22"/>
    <mergeCell ref="D22:I2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FormatPr defaultRowHeight="15" outlineLevelRow="0" outlineLevelCol="0" x14ac:dyDescent="55"/>
  <cols>
    <col min="1" max="1" width="45" customWidth="1"/>
    <col min="2" max="2" width="18" customWidth="1"/>
    <col min="3" max="3" width="55" customWidth="1"/>
    <col min="4" max="4" width="5" customWidth="1"/>
    <col min="5" max="5" width="40" customWidth="1"/>
    <col min="6" max="6" width="18" customWidth="1"/>
    <col min="7" max="10" width="15" customWidth="1"/>
  </cols>
  <sheetData>
    <row r="1" spans="1:10" x14ac:dyDescent="0.25">
      <c r="A1" s="2" t="s">
        <v>118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>
        <f>"Расчет выполнен по габаритам изделия "&amp;TEXT(Вводные_данные!$B$7,"0")&amp;"×"&amp;TEXT(Вводные_данные!$B$8,"0")&amp;"×"&amp;TEXT(Вводные_данные!$B$9,"0")&amp;" мм; длина допускает подрезку по месту (учтено коэффициентом k_reserve)."</f>
      </c>
      <c r="B2"/>
      <c r="C2"/>
      <c r="D2"/>
      <c r="E2"/>
      <c r="F2"/>
      <c r="G2"/>
      <c r="H2"/>
      <c r="I2"/>
      <c r="J2"/>
    </row>
    <row r="4" spans="1:7" x14ac:dyDescent="0.25">
      <c r="A4" s="9" t="s">
        <v>119</v>
      </c>
      <c r="B4" s="9" t="s">
        <v>120</v>
      </c>
      <c r="C4" s="9" t="s">
        <v>121</v>
      </c>
      <c r="E4" s="9" t="s">
        <v>122</v>
      </c>
      <c r="F4" s="9"/>
      <c r="G4" s="9"/>
    </row>
    <row r="5" spans="1:6" x14ac:dyDescent="0.25">
      <c r="A5" s="10" t="s">
        <v>123</v>
      </c>
      <c r="B5" s="11">
        <f>Вводные_данные!$B$7/1000</f>
      </c>
      <c r="C5" s="10" t="s">
        <v>124</v>
      </c>
      <c r="E5" s="10" t="s">
        <v>125</v>
      </c>
      <c r="F5" s="10">
        <f>Вводные_данные!$E$6</f>
      </c>
    </row>
    <row r="6" spans="1:6" x14ac:dyDescent="0.25">
      <c r="A6" s="10" t="s">
        <v>126</v>
      </c>
      <c r="B6" s="11">
        <f>Вводные_данные!$B$8/1000</f>
      </c>
      <c r="C6" s="10" t="s">
        <v>124</v>
      </c>
      <c r="E6" s="10" t="s">
        <v>127</v>
      </c>
      <c r="F6" s="10">
        <f>Вводные_данные!$E$7</f>
      </c>
    </row>
    <row r="7" spans="1:6" x14ac:dyDescent="0.25">
      <c r="A7" s="10" t="s">
        <v>128</v>
      </c>
      <c r="B7" s="11">
        <f>Вводные_данные!$B$9/1000</f>
      </c>
      <c r="C7" s="10" t="s">
        <v>124</v>
      </c>
      <c r="E7" s="10" t="s">
        <v>129</v>
      </c>
      <c r="F7" s="10">
        <f>Вводные_данные!$E$8</f>
      </c>
    </row>
    <row r="8" spans="1:6" x14ac:dyDescent="0.25">
      <c r="A8" s="10" t="s">
        <v>130</v>
      </c>
      <c r="B8" s="12">
        <f>B5*B6*B7</f>
      </c>
      <c r="C8" s="10" t="s">
        <v>131</v>
      </c>
      <c r="E8" s="10" t="s">
        <v>132</v>
      </c>
      <c r="F8" s="12">
        <f>B19*F5*F6*F7</f>
      </c>
    </row>
    <row r="9" spans="1:6" x14ac:dyDescent="0.25">
      <c r="A9" s="10" t="s">
        <v>133</v>
      </c>
      <c r="B9" s="12">
        <f>B5*B6</f>
      </c>
      <c r="C9" s="10" t="s">
        <v>134</v>
      </c>
      <c r="E9" s="10" t="s">
        <v>135</v>
      </c>
      <c r="F9" s="12">
        <f>B8*F5*F6*F7</f>
      </c>
    </row>
    <row r="10" spans="1:6" x14ac:dyDescent="0.25">
      <c r="A10" s="10" t="s">
        <v>136</v>
      </c>
      <c r="B10" s="12">
        <f>B5*B6</f>
      </c>
      <c r="C10" s="10" t="s">
        <v>134</v>
      </c>
      <c r="E10" s="10" t="s">
        <v>137</v>
      </c>
      <c r="F10" s="13">
        <f>F8*Вводные_данные!$E$9</f>
      </c>
    </row>
    <row r="11" spans="1:6" x14ac:dyDescent="0.25">
      <c r="A11" s="10" t="s">
        <v>138</v>
      </c>
      <c r="B11" s="12">
        <f>B5*B7</f>
      </c>
      <c r="C11" s="10" t="s">
        <v>139</v>
      </c>
      <c r="E11" s="10" t="s">
        <v>140</v>
      </c>
      <c r="F11" s="13">
        <f>F9*Вводные_данные!$E$9</f>
      </c>
    </row>
    <row r="12" spans="1:3" x14ac:dyDescent="0.25">
      <c r="A12" s="10" t="s">
        <v>141</v>
      </c>
      <c r="B12" s="12">
        <f>B5*B7</f>
      </c>
      <c r="C12" s="10" t="s">
        <v>139</v>
      </c>
    </row>
    <row r="13" spans="1:3" x14ac:dyDescent="0.25">
      <c r="A13" s="10" t="s">
        <v>142</v>
      </c>
      <c r="B13" s="12">
        <f>2*B6*B7</f>
      </c>
      <c r="C13" s="10" t="s">
        <v>143</v>
      </c>
    </row>
    <row r="14" spans="1:3" x14ac:dyDescent="0.25">
      <c r="A14" s="10" t="s">
        <v>144</v>
      </c>
      <c r="B14" s="11">
        <f>2*(B9+B11)+B13</f>
      </c>
      <c r="C14" s="10" t="s">
        <v>145</v>
      </c>
    </row>
    <row r="15" spans="1:3" x14ac:dyDescent="0.25">
      <c r="A15" s="10" t="s">
        <v>146</v>
      </c>
      <c r="B15" s="11">
        <f>B5+2*B6</f>
      </c>
      <c r="C15" s="10" t="s">
        <v>147</v>
      </c>
    </row>
    <row r="16" spans="1:3" x14ac:dyDescent="0.25">
      <c r="A16" s="10" t="s">
        <v>148</v>
      </c>
      <c r="B16" s="11">
        <f>4*B5+4*B6</f>
      </c>
      <c r="C16" s="10" t="s">
        <v>149</v>
      </c>
    </row>
    <row r="17" spans="1:3" x14ac:dyDescent="0.25">
      <c r="A17" s="10" t="s">
        <v>150</v>
      </c>
      <c r="B17" s="11">
        <f>B8*Вводные_данные!$E$5</f>
      </c>
      <c r="C17" s="10" t="s">
        <v>151</v>
      </c>
    </row>
    <row r="18" spans="1:3" x14ac:dyDescent="0.25">
      <c r="A18" s="10" t="s">
        <v>58</v>
      </c>
      <c r="B18" s="10">
        <f>Вводные_данные!$B$6</f>
      </c>
      <c r="C18" s="10" t="s">
        <v>152</v>
      </c>
    </row>
    <row r="19" spans="1:3" x14ac:dyDescent="0.25">
      <c r="A19" s="10" t="s">
        <v>153</v>
      </c>
      <c r="B19" s="12">
        <f>B8*B18</f>
      </c>
      <c r="C19" s="10" t="s">
        <v>154</v>
      </c>
    </row>
    <row r="20" spans="1:3" x14ac:dyDescent="0.25">
      <c r="A20" s="10" t="s">
        <v>155</v>
      </c>
      <c r="B20" s="11">
        <f>B17*B18</f>
      </c>
      <c r="C20" s="10" t="s">
        <v>156</v>
      </c>
    </row>
    <row r="22" spans="1:3" x14ac:dyDescent="0.25">
      <c r="A22" t="s">
        <v>157</v>
      </c>
      <c r="B22" s="14">
        <f>B9</f>
      </c>
      <c r="C22" t="s">
        <v>158</v>
      </c>
    </row>
    <row r="23" spans="1:3" x14ac:dyDescent="0.25">
      <c r="A23" t="s">
        <v>159</v>
      </c>
      <c r="B23" s="14">
        <f>B5</f>
      </c>
      <c r="C23" t="s">
        <v>160</v>
      </c>
    </row>
  </sheetData>
  <mergeCells count="3">
    <mergeCell ref="A1:J1"/>
    <mergeCell ref="A2:J2"/>
    <mergeCell ref="E4:G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" customWidth="1"/>
    <col min="2" max="2" width="60" customWidth="1"/>
    <col min="3" max="3" width="8" customWidth="1"/>
    <col min="4" max="5" width="14" customWidth="1"/>
    <col min="6" max="6" width="16" customWidth="1"/>
    <col min="7" max="8" width="22" customWidth="1"/>
    <col min="9" max="9" width="30" customWidth="1"/>
    <col min="10" max="10" width="35" customWidth="1"/>
  </cols>
  <sheetData>
    <row r="1" spans="1:10" x14ac:dyDescent="0.25">
      <c r="A1" s="2" t="s">
        <v>161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162</v>
      </c>
      <c r="B2"/>
      <c r="C2"/>
      <c r="D2"/>
      <c r="E2"/>
      <c r="F2"/>
      <c r="G2"/>
      <c r="H2"/>
      <c r="I2"/>
      <c r="J2"/>
    </row>
    <row r="4" spans="1:10" x14ac:dyDescent="0.25">
      <c r="A4" s="15" t="s">
        <v>163</v>
      </c>
      <c r="B4" s="15" t="s">
        <v>164</v>
      </c>
      <c r="C4" s="15" t="s">
        <v>165</v>
      </c>
      <c r="D4" s="15" t="s">
        <v>166</v>
      </c>
      <c r="E4" s="15" t="s">
        <v>167</v>
      </c>
      <c r="F4" s="15" t="s">
        <v>168</v>
      </c>
      <c r="G4" s="15" t="s">
        <v>169</v>
      </c>
      <c r="H4" s="15" t="s">
        <v>170</v>
      </c>
      <c r="I4" s="15" t="s">
        <v>171</v>
      </c>
      <c r="J4" s="15" t="s">
        <v>172</v>
      </c>
    </row>
    <row r="5" spans="1:10" x14ac:dyDescent="0.25">
      <c r="A5" s="10">
        <v>1</v>
      </c>
      <c r="B5" s="16" t="s">
        <v>173</v>
      </c>
      <c r="C5" s="10" t="s">
        <v>174</v>
      </c>
      <c r="D5" s="17">
        <f>Геометрия!$F$8</f>
      </c>
      <c r="E5" s="18">
        <f>Вводные_данные!$E$9</f>
      </c>
      <c r="F5" s="13">
        <f>D5*E5</f>
      </c>
      <c r="G5" s="10" t="s">
        <v>175</v>
      </c>
      <c r="H5" s="10" t="s">
        <v>176</v>
      </c>
      <c r="I5" s="10" t="s">
        <v>177</v>
      </c>
      <c r="J5" s="16" t="s">
        <v>178</v>
      </c>
    </row>
    <row r="6" spans="1:10" x14ac:dyDescent="0.25">
      <c r="A6" s="10">
        <v>2</v>
      </c>
      <c r="B6" s="16" t="s">
        <v>179</v>
      </c>
      <c r="C6" s="10" t="s">
        <v>180</v>
      </c>
      <c r="D6" s="19">
        <f>1</f>
      </c>
      <c r="E6" s="18">
        <v>10000</v>
      </c>
      <c r="F6" s="13">
        <f>D6*E6</f>
      </c>
      <c r="G6" s="10" t="s">
        <v>181</v>
      </c>
      <c r="H6" s="10" t="s">
        <v>182</v>
      </c>
      <c r="I6" s="10" t="s">
        <v>183</v>
      </c>
      <c r="J6" s="16" t="s">
        <v>184</v>
      </c>
    </row>
    <row r="7" spans="1:10" x14ac:dyDescent="0.25">
      <c r="A7" s="10">
        <v>3</v>
      </c>
      <c r="B7" s="16" t="s">
        <v>185</v>
      </c>
      <c r="C7" s="10" t="s">
        <v>180</v>
      </c>
      <c r="D7" s="19">
        <f>1</f>
      </c>
      <c r="E7" s="18">
        <v>8000</v>
      </c>
      <c r="F7" s="13">
        <f>D7*E7</f>
      </c>
      <c r="G7" s="10" t="s">
        <v>181</v>
      </c>
      <c r="H7" s="10" t="s">
        <v>182</v>
      </c>
      <c r="I7" s="10" t="s">
        <v>186</v>
      </c>
      <c r="J7" s="16" t="s">
        <v>187</v>
      </c>
    </row>
    <row r="8" spans="1:10" x14ac:dyDescent="0.25">
      <c r="A8" s="10">
        <v>4</v>
      </c>
      <c r="B8" s="16" t="s">
        <v>188</v>
      </c>
      <c r="C8" s="10" t="s">
        <v>189</v>
      </c>
      <c r="D8" s="19">
        <f>ROUNDUP(Геометрия!$B$9*2,0)</f>
      </c>
      <c r="E8" s="18">
        <v>8500</v>
      </c>
      <c r="F8" s="13">
        <f>D8*E8</f>
      </c>
      <c r="G8" s="10" t="s">
        <v>181</v>
      </c>
      <c r="H8" s="10" t="s">
        <v>190</v>
      </c>
      <c r="I8" s="10" t="s">
        <v>191</v>
      </c>
      <c r="J8" s="16" t="s">
        <v>192</v>
      </c>
    </row>
    <row r="9" spans="1:10" x14ac:dyDescent="0.25">
      <c r="A9" s="10">
        <v>5</v>
      </c>
      <c r="B9" s="16" t="s">
        <v>193</v>
      </c>
      <c r="C9" s="10" t="s">
        <v>180</v>
      </c>
      <c r="D9" s="19">
        <f>Вводные_данные!$B$6</f>
      </c>
      <c r="E9" s="18">
        <v>6500</v>
      </c>
      <c r="F9" s="13">
        <f>D9*E9</f>
      </c>
      <c r="G9" s="10" t="s">
        <v>181</v>
      </c>
      <c r="H9" s="10" t="s">
        <v>194</v>
      </c>
      <c r="I9" s="10" t="s">
        <v>195</v>
      </c>
      <c r="J9" s="16" t="s">
        <v>196</v>
      </c>
    </row>
    <row r="10" spans="1:10" x14ac:dyDescent="0.25">
      <c r="A10" s="10">
        <v>6</v>
      </c>
      <c r="B10" s="16" t="s">
        <v>197</v>
      </c>
      <c r="C10" s="10" t="s">
        <v>180</v>
      </c>
      <c r="D10" s="19">
        <f>Вводные_данные!$B$6</f>
      </c>
      <c r="E10" s="18">
        <v>1200</v>
      </c>
      <c r="F10" s="13">
        <f>D10*E10</f>
      </c>
      <c r="G10" s="10" t="s">
        <v>198</v>
      </c>
      <c r="H10" s="10" t="s">
        <v>199</v>
      </c>
      <c r="I10" s="10" t="s">
        <v>200</v>
      </c>
      <c r="J10" s="16" t="s">
        <v>201</v>
      </c>
    </row>
    <row r="11" spans="1:10" x14ac:dyDescent="0.25">
      <c r="A11" s="10">
        <v>7</v>
      </c>
      <c r="B11" s="16" t="s">
        <v>202</v>
      </c>
      <c r="C11" s="10" t="s">
        <v>180</v>
      </c>
      <c r="D11" s="19">
        <f>Вводные_данные!$B$6</f>
      </c>
      <c r="E11" s="18">
        <v>800</v>
      </c>
      <c r="F11" s="13">
        <f>D11*E11</f>
      </c>
      <c r="G11" s="10" t="s">
        <v>203</v>
      </c>
      <c r="H11" s="10" t="s">
        <v>199</v>
      </c>
      <c r="I11" s="10" t="s">
        <v>200</v>
      </c>
      <c r="J11" s="16" t="s">
        <v>204</v>
      </c>
    </row>
    <row r="12" spans="1:10" x14ac:dyDescent="0.25">
      <c r="A12" s="10">
        <v>8</v>
      </c>
      <c r="B12" s="16" t="s">
        <v>205</v>
      </c>
      <c r="C12" s="10" t="s">
        <v>180</v>
      </c>
      <c r="D12" s="19">
        <f>Вводные_данные!$B$6</f>
      </c>
      <c r="E12" s="18">
        <v>18000</v>
      </c>
      <c r="F12" s="13">
        <f>D12*E12</f>
      </c>
      <c r="G12" s="10" t="s">
        <v>206</v>
      </c>
      <c r="H12" s="10" t="s">
        <v>207</v>
      </c>
      <c r="I12" s="10" t="s">
        <v>208</v>
      </c>
      <c r="J12" s="16" t="s">
        <v>209</v>
      </c>
    </row>
    <row r="13" spans="1:10" x14ac:dyDescent="0.25">
      <c r="A13" s="10">
        <v>9</v>
      </c>
      <c r="B13" s="16" t="s">
        <v>210</v>
      </c>
      <c r="C13" s="10" t="s">
        <v>180</v>
      </c>
      <c r="D13" s="19">
        <f>Вводные_данные!$B$6</f>
      </c>
      <c r="E13" s="18">
        <v>1500</v>
      </c>
      <c r="F13" s="13">
        <f>D13*E13</f>
      </c>
      <c r="G13" s="10" t="s">
        <v>203</v>
      </c>
      <c r="H13" s="10" t="s">
        <v>199</v>
      </c>
      <c r="I13" s="10" t="s">
        <v>200</v>
      </c>
      <c r="J13" s="16" t="s">
        <v>211</v>
      </c>
    </row>
    <row r="14" spans="1:10" x14ac:dyDescent="0.25">
      <c r="A14" s="10">
        <v>10</v>
      </c>
      <c r="B14" s="16" t="s">
        <v>212</v>
      </c>
      <c r="C14" s="10" t="s">
        <v>180</v>
      </c>
      <c r="D14" s="19">
        <f>Вводные_данные!$B$6</f>
      </c>
      <c r="E14" s="18">
        <v>600</v>
      </c>
      <c r="F14" s="13">
        <f>D14*E14</f>
      </c>
      <c r="G14" s="10" t="s">
        <v>203</v>
      </c>
      <c r="H14" s="10" t="s">
        <v>199</v>
      </c>
      <c r="I14" s="10" t="s">
        <v>200</v>
      </c>
      <c r="J14" s="16" t="s">
        <v>213</v>
      </c>
    </row>
    <row r="16" spans="1:10" x14ac:dyDescent="0.25">
      <c r="B16"/>
      <c r="C16"/>
      <c r="D16"/>
      <c r="E16" s="3" t="s">
        <v>214</v>
      </c>
      <c r="F16" s="20">
        <f>SUM(F5:F14)</f>
      </c>
      <c r="H16"/>
      <c r="I16"/>
      <c r="J16"/>
    </row>
  </sheetData>
  <mergeCells count="4">
    <mergeCell ref="A1:J1"/>
    <mergeCell ref="A2:J2"/>
    <mergeCell ref="A16:D16"/>
    <mergeCell ref="G16:J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0"/>
  <sheetFormatPr defaultRowHeight="15" outlineLevelRow="0" outlineLevelCol="0" x14ac:dyDescent="55"/>
  <cols>
    <col min="1" max="1" width="4" customWidth="1"/>
    <col min="2" max="2" width="35" customWidth="1"/>
    <col min="3" max="3" width="40" customWidth="1"/>
    <col min="4" max="4" width="30" customWidth="1"/>
    <col min="5" max="6" width="25" customWidth="1"/>
    <col min="7" max="7" width="18" customWidth="1"/>
    <col min="8" max="8" width="10" customWidth="1"/>
    <col min="9" max="10" width="12" customWidth="1"/>
    <col min="11" max="12" width="14" customWidth="1"/>
    <col min="13" max="13" width="10" customWidth="1"/>
    <col min="14" max="15" width="12" customWidth="1"/>
    <col min="16" max="16" width="14" customWidth="1"/>
    <col min="17" max="18" width="10" customWidth="1"/>
    <col min="19" max="19" width="12" customWidth="1"/>
    <col min="20" max="20" width="14" customWidth="1"/>
    <col min="21" max="21" width="35" customWidth="1"/>
  </cols>
  <sheetData>
    <row r="1" spans="1:10" x14ac:dyDescent="0.25">
      <c r="A1" s="2" t="s">
        <v>215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216</v>
      </c>
      <c r="B2"/>
      <c r="C2"/>
      <c r="D2"/>
      <c r="E2"/>
      <c r="F2"/>
      <c r="G2"/>
      <c r="H2"/>
      <c r="I2"/>
      <c r="J2"/>
    </row>
    <row r="4" ht="35" customHeight="1" spans="1:21" x14ac:dyDescent="0.25">
      <c r="A4" s="21" t="s">
        <v>163</v>
      </c>
      <c r="B4" s="21" t="s">
        <v>217</v>
      </c>
      <c r="C4" s="21" t="s">
        <v>218</v>
      </c>
      <c r="D4" s="21" t="s">
        <v>219</v>
      </c>
      <c r="E4" s="21" t="s">
        <v>220</v>
      </c>
      <c r="F4" s="21" t="s">
        <v>170</v>
      </c>
      <c r="G4" s="21" t="s">
        <v>221</v>
      </c>
      <c r="H4" s="21" t="s">
        <v>222</v>
      </c>
      <c r="I4" s="21" t="s">
        <v>223</v>
      </c>
      <c r="J4" s="21" t="s">
        <v>74</v>
      </c>
      <c r="K4" s="21" t="s">
        <v>224</v>
      </c>
      <c r="L4" s="21" t="s">
        <v>225</v>
      </c>
      <c r="M4" s="21" t="s">
        <v>226</v>
      </c>
      <c r="N4" s="21" t="s">
        <v>227</v>
      </c>
      <c r="O4" s="21" t="s">
        <v>228</v>
      </c>
      <c r="P4" s="21" t="s">
        <v>229</v>
      </c>
      <c r="Q4" s="21" t="s">
        <v>230</v>
      </c>
      <c r="R4" s="21" t="s">
        <v>231</v>
      </c>
      <c r="S4" s="21" t="s">
        <v>232</v>
      </c>
      <c r="T4" s="21" t="s">
        <v>233</v>
      </c>
      <c r="U4" s="21" t="s">
        <v>172</v>
      </c>
    </row>
    <row r="5" spans="1:21" x14ac:dyDescent="0.25">
      <c r="A5" s="10">
        <v>1</v>
      </c>
      <c r="B5" s="16" t="s">
        <v>234</v>
      </c>
      <c r="C5" s="16" t="s">
        <v>235</v>
      </c>
      <c r="D5" s="10" t="s">
        <v>98</v>
      </c>
      <c r="E5" s="10" t="s">
        <v>82</v>
      </c>
      <c r="F5" s="10" t="s">
        <v>236</v>
      </c>
      <c r="G5" s="10" t="s">
        <v>237</v>
      </c>
      <c r="H5" s="22">
        <v>1.5</v>
      </c>
      <c r="I5" s="10">
        <f>H5*Вводные_данные!$B$6</f>
      </c>
      <c r="J5" s="13">
        <f>IFERROR(VLOOKUP(E5,Вводные_данные!$A$15:$B$21,2,FALSE),0)</f>
      </c>
      <c r="K5" s="13">
        <f>I5*J5</f>
      </c>
      <c r="L5" s="13">
        <f>K5*Вводные_данные!$E$25</f>
      </c>
      <c r="M5" s="22">
        <v>0.3</v>
      </c>
      <c r="N5" s="10">
        <f>M5*Вводные_данные!$B$6</f>
      </c>
      <c r="O5" s="13">
        <f>IF(D5="",0,IFERROR(VLOOKUP(D5,Вводные_данные!$D$15:$E$21,2,FALSE),0))</f>
      </c>
      <c r="P5" s="13">
        <f>N5*O5</f>
      </c>
      <c r="Q5" s="10">
        <f>IF(D5="",0,IFERROR(VLOOKUP(D5,Вводные_данные!$D$15:$G$21,4,FALSE),0))</f>
      </c>
      <c r="R5" s="10">
        <f>M5*Q5</f>
      </c>
      <c r="S5" s="13">
        <f>R5*Вводные_данные!$E$24</f>
      </c>
      <c r="T5" s="13">
        <f>K5+L5+P5+S5</f>
      </c>
      <c r="U5" s="16" t="s">
        <v>238</v>
      </c>
    </row>
    <row r="6" spans="1:21" x14ac:dyDescent="0.25">
      <c r="A6" s="10">
        <v>2</v>
      </c>
      <c r="B6" s="16" t="s">
        <v>239</v>
      </c>
      <c r="C6" s="16" t="s">
        <v>240</v>
      </c>
      <c r="D6" s="10" t="s">
        <v>152</v>
      </c>
      <c r="E6" s="10" t="s">
        <v>82</v>
      </c>
      <c r="F6" s="10" t="s">
        <v>241</v>
      </c>
      <c r="G6" s="10" t="s">
        <v>242</v>
      </c>
      <c r="H6" s="22">
        <v>2.5</v>
      </c>
      <c r="I6" s="10">
        <f>H6*Вводные_данные!$B$6</f>
      </c>
      <c r="J6" s="13">
        <f>IFERROR(VLOOKUP(E6,Вводные_данные!$A$15:$B$21,2,FALSE),0)</f>
      </c>
      <c r="K6" s="13">
        <f>I6*J6</f>
      </c>
      <c r="L6" s="13">
        <f>K6*Вводные_данные!$E$25</f>
      </c>
      <c r="M6" s="22">
        <v>0</v>
      </c>
      <c r="N6" s="10">
        <f>M6*Вводные_данные!$B$6</f>
      </c>
      <c r="O6" s="13">
        <f>IF(D6="",0,IFERROR(VLOOKUP(D6,Вводные_данные!$D$15:$E$21,2,FALSE),0))</f>
      </c>
      <c r="P6" s="13">
        <f>N6*O6</f>
      </c>
      <c r="Q6" s="10">
        <f>IF(D6="",0,IFERROR(VLOOKUP(D6,Вводные_данные!$D$15:$G$21,4,FALSE),0))</f>
      </c>
      <c r="R6" s="10">
        <f>M6*Q6</f>
      </c>
      <c r="S6" s="13">
        <f>R6*Вводные_данные!$E$24</f>
      </c>
      <c r="T6" s="13">
        <f>K6+L6+P6+S6</f>
      </c>
      <c r="U6" s="16" t="s">
        <v>243</v>
      </c>
    </row>
    <row r="7" spans="1:21" x14ac:dyDescent="0.25">
      <c r="A7" s="10">
        <v>3</v>
      </c>
      <c r="B7" s="16" t="s">
        <v>244</v>
      </c>
      <c r="C7" s="16" t="s">
        <v>245</v>
      </c>
      <c r="D7" s="10" t="s">
        <v>152</v>
      </c>
      <c r="E7" s="10" t="s">
        <v>85</v>
      </c>
      <c r="F7" s="10" t="s">
        <v>246</v>
      </c>
      <c r="G7" s="10" t="s">
        <v>242</v>
      </c>
      <c r="H7" s="22">
        <v>1.8</v>
      </c>
      <c r="I7" s="10">
        <f>H7*Вводные_данные!$B$6</f>
      </c>
      <c r="J7" s="13">
        <f>IFERROR(VLOOKUP(E7,Вводные_данные!$A$15:$B$21,2,FALSE),0)</f>
      </c>
      <c r="K7" s="13">
        <f>I7*J7</f>
      </c>
      <c r="L7" s="13">
        <f>K7*Вводные_данные!$E$25</f>
      </c>
      <c r="M7" s="22">
        <v>0</v>
      </c>
      <c r="N7" s="10">
        <f>M7*Вводные_данные!$B$6</f>
      </c>
      <c r="O7" s="13">
        <f>IF(D7="",0,IFERROR(VLOOKUP(D7,Вводные_данные!$D$15:$E$21,2,FALSE),0))</f>
      </c>
      <c r="P7" s="13">
        <f>N7*O7</f>
      </c>
      <c r="Q7" s="10">
        <f>IF(D7="",0,IFERROR(VLOOKUP(D7,Вводные_данные!$D$15:$G$21,4,FALSE),0))</f>
      </c>
      <c r="R7" s="10">
        <f>M7*Q7</f>
      </c>
      <c r="S7" s="13">
        <f>R7*Вводные_данные!$E$24</f>
      </c>
      <c r="T7" s="13">
        <f>K7+L7+P7+S7</f>
      </c>
      <c r="U7" s="16" t="s">
        <v>247</v>
      </c>
    </row>
    <row r="8" spans="1:21" x14ac:dyDescent="0.25">
      <c r="A8" s="10">
        <v>4</v>
      </c>
      <c r="B8" s="16" t="s">
        <v>248</v>
      </c>
      <c r="C8" s="16" t="s">
        <v>249</v>
      </c>
      <c r="D8" s="10" t="s">
        <v>98</v>
      </c>
      <c r="E8" s="10" t="s">
        <v>94</v>
      </c>
      <c r="F8" s="10" t="s">
        <v>250</v>
      </c>
      <c r="G8" s="10" t="s">
        <v>251</v>
      </c>
      <c r="H8" s="22">
        <v>1.2</v>
      </c>
      <c r="I8" s="10">
        <f>H8*Вводные_данные!$B$6</f>
      </c>
      <c r="J8" s="13">
        <f>IFERROR(VLOOKUP(E8,Вводные_данные!$A$15:$B$21,2,FALSE),0)</f>
      </c>
      <c r="K8" s="13">
        <f>I8*J8</f>
      </c>
      <c r="L8" s="13">
        <f>K8*Вводные_данные!$E$25</f>
      </c>
      <c r="M8" s="22">
        <v>0.5</v>
      </c>
      <c r="N8" s="10">
        <f>M8*Вводные_данные!$B$6</f>
      </c>
      <c r="O8" s="13">
        <f>IF(D8="",0,IFERROR(VLOOKUP(D8,Вводные_данные!$D$15:$E$21,2,FALSE),0))</f>
      </c>
      <c r="P8" s="13">
        <f>N8*O8</f>
      </c>
      <c r="Q8" s="10">
        <f>IF(D8="",0,IFERROR(VLOOKUP(D8,Вводные_данные!$D$15:$G$21,4,FALSE),0))</f>
      </c>
      <c r="R8" s="10">
        <f>M8*Q8</f>
      </c>
      <c r="S8" s="13">
        <f>R8*Вводные_данные!$E$24</f>
      </c>
      <c r="T8" s="13">
        <f>K8+L8+P8+S8</f>
      </c>
      <c r="U8" s="16" t="s">
        <v>252</v>
      </c>
    </row>
    <row r="9" spans="1:21" x14ac:dyDescent="0.25">
      <c r="A9" s="10">
        <v>5</v>
      </c>
      <c r="B9" s="16" t="s">
        <v>253</v>
      </c>
      <c r="C9" s="16" t="s">
        <v>254</v>
      </c>
      <c r="D9" s="10" t="s">
        <v>80</v>
      </c>
      <c r="E9" s="10" t="s">
        <v>88</v>
      </c>
      <c r="F9" s="10" t="s">
        <v>255</v>
      </c>
      <c r="G9" s="10" t="s">
        <v>256</v>
      </c>
      <c r="H9" s="22">
        <v>3.2</v>
      </c>
      <c r="I9" s="10">
        <f>H9*Вводные_данные!$B$6</f>
      </c>
      <c r="J9" s="13">
        <f>IFERROR(VLOOKUP(E9,Вводные_данные!$A$15:$B$21,2,FALSE),0)</f>
      </c>
      <c r="K9" s="13">
        <f>I9*J9</f>
      </c>
      <c r="L9" s="13">
        <f>K9*Вводные_данные!$E$25</f>
      </c>
      <c r="M9" s="22">
        <v>2</v>
      </c>
      <c r="N9" s="10">
        <f>M9*Вводные_данные!$B$6</f>
      </c>
      <c r="O9" s="13">
        <f>IF(D9="",0,IFERROR(VLOOKUP(D9,Вводные_данные!$D$15:$E$21,2,FALSE),0))</f>
      </c>
      <c r="P9" s="13">
        <f>N9*O9</f>
      </c>
      <c r="Q9" s="10">
        <f>IF(D9="",0,IFERROR(VLOOKUP(D9,Вводные_данные!$D$15:$G$21,4,FALSE),0))</f>
      </c>
      <c r="R9" s="10">
        <f>M9*Q9</f>
      </c>
      <c r="S9" s="13">
        <f>R9*Вводные_данные!$E$24</f>
      </c>
      <c r="T9" s="13">
        <f>K9+L9+P9+S9</f>
      </c>
      <c r="U9" s="16" t="s">
        <v>257</v>
      </c>
    </row>
    <row r="10" spans="1:21" x14ac:dyDescent="0.25">
      <c r="A10" s="10">
        <v>6</v>
      </c>
      <c r="B10" s="16" t="s">
        <v>258</v>
      </c>
      <c r="C10" s="16" t="s">
        <v>259</v>
      </c>
      <c r="D10" s="10" t="s">
        <v>152</v>
      </c>
      <c r="E10" s="10" t="s">
        <v>82</v>
      </c>
      <c r="F10" s="10" t="s">
        <v>260</v>
      </c>
      <c r="G10" s="10" t="s">
        <v>242</v>
      </c>
      <c r="H10" s="22">
        <v>1</v>
      </c>
      <c r="I10" s="10">
        <f>H10*Вводные_данные!$B$6</f>
      </c>
      <c r="J10" s="13">
        <f>IFERROR(VLOOKUP(E10,Вводные_данные!$A$15:$B$21,2,FALSE),0)</f>
      </c>
      <c r="K10" s="13">
        <f>I10*J10</f>
      </c>
      <c r="L10" s="13">
        <f>K10*Вводные_данные!$E$25</f>
      </c>
      <c r="M10" s="22">
        <v>0</v>
      </c>
      <c r="N10" s="10">
        <f>M10*Вводные_данные!$B$6</f>
      </c>
      <c r="O10" s="13">
        <f>IF(D10="",0,IFERROR(VLOOKUP(D10,Вводные_данные!$D$15:$E$21,2,FALSE),0))</f>
      </c>
      <c r="P10" s="13">
        <f>N10*O10</f>
      </c>
      <c r="Q10" s="10">
        <f>IF(D10="",0,IFERROR(VLOOKUP(D10,Вводные_данные!$D$15:$G$21,4,FALSE),0))</f>
      </c>
      <c r="R10" s="10">
        <f>M10*Q10</f>
      </c>
      <c r="S10" s="13">
        <f>R10*Вводные_данные!$E$24</f>
      </c>
      <c r="T10" s="13">
        <f>K10+L10+P10+S10</f>
      </c>
      <c r="U10" s="16" t="s">
        <v>261</v>
      </c>
    </row>
    <row r="11" spans="1:21" x14ac:dyDescent="0.25">
      <c r="A11" s="10">
        <v>7</v>
      </c>
      <c r="B11" s="16" t="s">
        <v>262</v>
      </c>
      <c r="C11" s="16" t="s">
        <v>263</v>
      </c>
      <c r="D11" s="10" t="s">
        <v>80</v>
      </c>
      <c r="E11" s="10" t="s">
        <v>88</v>
      </c>
      <c r="F11" s="10" t="s">
        <v>255</v>
      </c>
      <c r="G11" s="10" t="s">
        <v>256</v>
      </c>
      <c r="H11" s="22">
        <v>2.8</v>
      </c>
      <c r="I11" s="10">
        <f>H11*Вводные_данные!$B$6</f>
      </c>
      <c r="J11" s="13">
        <f>IFERROR(VLOOKUP(E11,Вводные_данные!$A$15:$B$21,2,FALSE),0)</f>
      </c>
      <c r="K11" s="13">
        <f>I11*J11</f>
      </c>
      <c r="L11" s="13">
        <f>K11*Вводные_данные!$E$25</f>
      </c>
      <c r="M11" s="22">
        <v>1.6</v>
      </c>
      <c r="N11" s="10">
        <f>M11*Вводные_данные!$B$6</f>
      </c>
      <c r="O11" s="13">
        <f>IF(D11="",0,IFERROR(VLOOKUP(D11,Вводные_данные!$D$15:$E$21,2,FALSE),0))</f>
      </c>
      <c r="P11" s="13">
        <f>N11*O11</f>
      </c>
      <c r="Q11" s="10">
        <f>IF(D11="",0,IFERROR(VLOOKUP(D11,Вводные_данные!$D$15:$G$21,4,FALSE),0))</f>
      </c>
      <c r="R11" s="10">
        <f>M11*Q11</f>
      </c>
      <c r="S11" s="13">
        <f>R11*Вводные_данные!$E$24</f>
      </c>
      <c r="T11" s="13">
        <f>K11+L11+P11+S11</f>
      </c>
      <c r="U11" s="16" t="s">
        <v>264</v>
      </c>
    </row>
    <row r="12" spans="1:21" x14ac:dyDescent="0.25">
      <c r="A12" s="10">
        <v>8</v>
      </c>
      <c r="B12" s="16" t="s">
        <v>265</v>
      </c>
      <c r="C12" s="16" t="s">
        <v>266</v>
      </c>
      <c r="D12" s="10" t="s">
        <v>83</v>
      </c>
      <c r="E12" s="10" t="s">
        <v>88</v>
      </c>
      <c r="F12" s="10" t="s">
        <v>255</v>
      </c>
      <c r="G12" s="10" t="s">
        <v>267</v>
      </c>
      <c r="H12" s="22">
        <v>4</v>
      </c>
      <c r="I12" s="10">
        <f>H12*Вводные_данные!$B$6</f>
      </c>
      <c r="J12" s="13">
        <f>IFERROR(VLOOKUP(E12,Вводные_данные!$A$15:$B$21,2,FALSE),0)</f>
      </c>
      <c r="K12" s="13">
        <f>I12*J12</f>
      </c>
      <c r="L12" s="13">
        <f>K12*Вводные_данные!$E$25</f>
      </c>
      <c r="M12" s="22">
        <v>2.4</v>
      </c>
      <c r="N12" s="10">
        <f>M12*Вводные_данные!$B$6</f>
      </c>
      <c r="O12" s="13">
        <f>IF(D12="",0,IFERROR(VLOOKUP(D12,Вводные_данные!$D$15:$E$21,2,FALSE),0))</f>
      </c>
      <c r="P12" s="13">
        <f>N12*O12</f>
      </c>
      <c r="Q12" s="10">
        <f>IF(D12="",0,IFERROR(VLOOKUP(D12,Вводные_данные!$D$15:$G$21,4,FALSE),0))</f>
      </c>
      <c r="R12" s="10">
        <f>M12*Q12</f>
      </c>
      <c r="S12" s="13">
        <f>R12*Вводные_данные!$E$24</f>
      </c>
      <c r="T12" s="13">
        <f>K12+L12+P12+S12</f>
      </c>
      <c r="U12" s="16" t="s">
        <v>268</v>
      </c>
    </row>
    <row r="13" spans="1:21" x14ac:dyDescent="0.25">
      <c r="A13" s="10">
        <v>9</v>
      </c>
      <c r="B13" s="16" t="s">
        <v>269</v>
      </c>
      <c r="C13" s="16" t="s">
        <v>270</v>
      </c>
      <c r="D13" s="10" t="s">
        <v>152</v>
      </c>
      <c r="E13" s="10" t="s">
        <v>82</v>
      </c>
      <c r="F13" s="10" t="s">
        <v>260</v>
      </c>
      <c r="G13" s="10" t="s">
        <v>242</v>
      </c>
      <c r="H13" s="22">
        <v>1.2</v>
      </c>
      <c r="I13" s="10">
        <f>H13*Вводные_данные!$B$6</f>
      </c>
      <c r="J13" s="13">
        <f>IFERROR(VLOOKUP(E13,Вводные_данные!$A$15:$B$21,2,FALSE),0)</f>
      </c>
      <c r="K13" s="13">
        <f>I13*J13</f>
      </c>
      <c r="L13" s="13">
        <f>K13*Вводные_данные!$E$25</f>
      </c>
      <c r="M13" s="22">
        <v>0</v>
      </c>
      <c r="N13" s="10">
        <f>M13*Вводные_данные!$B$6</f>
      </c>
      <c r="O13" s="13">
        <f>IF(D13="",0,IFERROR(VLOOKUP(D13,Вводные_данные!$D$15:$E$21,2,FALSE),0))</f>
      </c>
      <c r="P13" s="13">
        <f>N13*O13</f>
      </c>
      <c r="Q13" s="10">
        <f>IF(D13="",0,IFERROR(VLOOKUP(D13,Вводные_данные!$D$15:$G$21,4,FALSE),0))</f>
      </c>
      <c r="R13" s="10">
        <f>M13*Q13</f>
      </c>
      <c r="S13" s="13">
        <f>R13*Вводные_данные!$E$24</f>
      </c>
      <c r="T13" s="13">
        <f>K13+L13+P13+S13</f>
      </c>
      <c r="U13" s="16" t="s">
        <v>271</v>
      </c>
    </row>
    <row r="14" spans="1:21" x14ac:dyDescent="0.25">
      <c r="A14" s="10">
        <v>10</v>
      </c>
      <c r="B14" s="16" t="s">
        <v>272</v>
      </c>
      <c r="C14" s="16" t="s">
        <v>273</v>
      </c>
      <c r="D14" s="10" t="s">
        <v>86</v>
      </c>
      <c r="E14" s="10" t="s">
        <v>85</v>
      </c>
      <c r="F14" s="10" t="s">
        <v>274</v>
      </c>
      <c r="G14" s="10" t="s">
        <v>256</v>
      </c>
      <c r="H14" s="22">
        <v>1.6</v>
      </c>
      <c r="I14" s="10">
        <f>H14*Вводные_данные!$B$6</f>
      </c>
      <c r="J14" s="13">
        <f>IFERROR(VLOOKUP(E14,Вводные_данные!$A$15:$B$21,2,FALSE),0)</f>
      </c>
      <c r="K14" s="13">
        <f>I14*J14</f>
      </c>
      <c r="L14" s="13">
        <f>K14*Вводные_данные!$E$25</f>
      </c>
      <c r="M14" s="22">
        <v>0.6</v>
      </c>
      <c r="N14" s="10">
        <f>M14*Вводные_данные!$B$6</f>
      </c>
      <c r="O14" s="13">
        <f>IF(D14="",0,IFERROR(VLOOKUP(D14,Вводные_данные!$D$15:$E$21,2,FALSE),0))</f>
      </c>
      <c r="P14" s="13">
        <f>N14*O14</f>
      </c>
      <c r="Q14" s="10">
        <f>IF(D14="",0,IFERROR(VLOOKUP(D14,Вводные_данные!$D$15:$G$21,4,FALSE),0))</f>
      </c>
      <c r="R14" s="10">
        <f>M14*Q14</f>
      </c>
      <c r="S14" s="13">
        <f>R14*Вводные_данные!$E$24</f>
      </c>
      <c r="T14" s="13">
        <f>K14+L14+P14+S14</f>
      </c>
      <c r="U14" s="16" t="s">
        <v>275</v>
      </c>
    </row>
    <row r="15" spans="1:21" x14ac:dyDescent="0.25">
      <c r="A15" s="10">
        <v>11</v>
      </c>
      <c r="B15" s="16" t="s">
        <v>276</v>
      </c>
      <c r="C15" s="16" t="s">
        <v>277</v>
      </c>
      <c r="D15" s="10" t="s">
        <v>86</v>
      </c>
      <c r="E15" s="10" t="s">
        <v>88</v>
      </c>
      <c r="F15" s="10" t="s">
        <v>255</v>
      </c>
      <c r="G15" s="10" t="s">
        <v>256</v>
      </c>
      <c r="H15" s="22">
        <v>3.4</v>
      </c>
      <c r="I15" s="10">
        <f>H15*Вводные_данные!$B$6</f>
      </c>
      <c r="J15" s="13">
        <f>IFERROR(VLOOKUP(E15,Вводные_данные!$A$15:$B$21,2,FALSE),0)</f>
      </c>
      <c r="K15" s="13">
        <f>I15*J15</f>
      </c>
      <c r="L15" s="13">
        <f>K15*Вводные_данные!$E$25</f>
      </c>
      <c r="M15" s="22">
        <v>2</v>
      </c>
      <c r="N15" s="10">
        <f>M15*Вводные_данные!$B$6</f>
      </c>
      <c r="O15" s="13">
        <f>IF(D15="",0,IFERROR(VLOOKUP(D15,Вводные_данные!$D$15:$E$21,2,FALSE),0))</f>
      </c>
      <c r="P15" s="13">
        <f>N15*O15</f>
      </c>
      <c r="Q15" s="10">
        <f>IF(D15="",0,IFERROR(VLOOKUP(D15,Вводные_данные!$D$15:$G$21,4,FALSE),0))</f>
      </c>
      <c r="R15" s="10">
        <f>M15*Q15</f>
      </c>
      <c r="S15" s="13">
        <f>R15*Вводные_данные!$E$24</f>
      </c>
      <c r="T15" s="13">
        <f>K15+L15+P15+S15</f>
      </c>
      <c r="U15" s="16" t="s">
        <v>278</v>
      </c>
    </row>
    <row r="16" spans="1:21" x14ac:dyDescent="0.25">
      <c r="A16" s="10">
        <v>12</v>
      </c>
      <c r="B16" s="16" t="s">
        <v>279</v>
      </c>
      <c r="C16" s="16" t="s">
        <v>280</v>
      </c>
      <c r="D16" s="10" t="s">
        <v>98</v>
      </c>
      <c r="E16" s="10" t="s">
        <v>94</v>
      </c>
      <c r="F16" s="10" t="s">
        <v>281</v>
      </c>
      <c r="G16" s="10" t="s">
        <v>282</v>
      </c>
      <c r="H16" s="22">
        <v>1</v>
      </c>
      <c r="I16" s="10">
        <f>H16*Вводные_данные!$B$6</f>
      </c>
      <c r="J16" s="13">
        <f>IFERROR(VLOOKUP(E16,Вводные_данные!$A$15:$B$21,2,FALSE),0)</f>
      </c>
      <c r="K16" s="13">
        <f>I16*J16</f>
      </c>
      <c r="L16" s="13">
        <f>K16*Вводные_данные!$E$25</f>
      </c>
      <c r="M16" s="22">
        <v>0.4</v>
      </c>
      <c r="N16" s="10">
        <f>M16*Вводные_данные!$B$6</f>
      </c>
      <c r="O16" s="13">
        <f>IF(D16="",0,IFERROR(VLOOKUP(D16,Вводные_данные!$D$15:$E$21,2,FALSE),0))</f>
      </c>
      <c r="P16" s="13">
        <f>N16*O16</f>
      </c>
      <c r="Q16" s="10">
        <f>IF(D16="",0,IFERROR(VLOOKUP(D16,Вводные_данные!$D$15:$G$21,4,FALSE),0))</f>
      </c>
      <c r="R16" s="10">
        <f>M16*Q16</f>
      </c>
      <c r="S16" s="13">
        <f>R16*Вводные_данные!$E$24</f>
      </c>
      <c r="T16" s="13">
        <f>K16+L16+P16+S16</f>
      </c>
      <c r="U16" s="16" t="s">
        <v>283</v>
      </c>
    </row>
    <row r="17" spans="1:21" x14ac:dyDescent="0.25">
      <c r="A17" s="10">
        <v>13</v>
      </c>
      <c r="B17" s="16" t="s">
        <v>284</v>
      </c>
      <c r="C17" s="16" t="s">
        <v>285</v>
      </c>
      <c r="D17" s="10" t="s">
        <v>89</v>
      </c>
      <c r="E17" s="10" t="s">
        <v>88</v>
      </c>
      <c r="F17" s="10" t="s">
        <v>255</v>
      </c>
      <c r="G17" s="10" t="s">
        <v>286</v>
      </c>
      <c r="H17" s="22">
        <v>3.2</v>
      </c>
      <c r="I17" s="10">
        <f>H17*Вводные_данные!$B$6</f>
      </c>
      <c r="J17" s="13">
        <f>IFERROR(VLOOKUP(E17,Вводные_данные!$A$15:$B$21,2,FALSE),0)</f>
      </c>
      <c r="K17" s="13">
        <f>I17*J17</f>
      </c>
      <c r="L17" s="13">
        <f>K17*Вводные_данные!$E$25</f>
      </c>
      <c r="M17" s="22">
        <v>1.4</v>
      </c>
      <c r="N17" s="10">
        <f>M17*Вводные_данные!$B$6</f>
      </c>
      <c r="O17" s="13">
        <f>IF(D17="",0,IFERROR(VLOOKUP(D17,Вводные_данные!$D$15:$E$21,2,FALSE),0))</f>
      </c>
      <c r="P17" s="13">
        <f>N17*O17</f>
      </c>
      <c r="Q17" s="10">
        <f>IF(D17="",0,IFERROR(VLOOKUP(D17,Вводные_данные!$D$15:$G$21,4,FALSE),0))</f>
      </c>
      <c r="R17" s="10">
        <f>M17*Q17</f>
      </c>
      <c r="S17" s="13">
        <f>R17*Вводные_данные!$E$24</f>
      </c>
      <c r="T17" s="13">
        <f>K17+L17+P17+S17</f>
      </c>
      <c r="U17" s="16" t="s">
        <v>287</v>
      </c>
    </row>
    <row r="18" spans="1:21" x14ac:dyDescent="0.25">
      <c r="A18" s="10">
        <v>14</v>
      </c>
      <c r="B18" s="16" t="s">
        <v>288</v>
      </c>
      <c r="C18" s="16" t="s">
        <v>289</v>
      </c>
      <c r="D18" s="10" t="s">
        <v>152</v>
      </c>
      <c r="E18" s="10" t="s">
        <v>88</v>
      </c>
      <c r="F18" s="10" t="s">
        <v>290</v>
      </c>
      <c r="G18" s="10" t="s">
        <v>242</v>
      </c>
      <c r="H18" s="22">
        <v>4</v>
      </c>
      <c r="I18" s="10">
        <f>H18*Вводные_данные!$B$6</f>
      </c>
      <c r="J18" s="13">
        <f>IFERROR(VLOOKUP(E18,Вводные_данные!$A$15:$B$21,2,FALSE),0)</f>
      </c>
      <c r="K18" s="13">
        <f>I18*J18</f>
      </c>
      <c r="L18" s="13">
        <f>K18*Вводные_данные!$E$25</f>
      </c>
      <c r="M18" s="22">
        <v>0</v>
      </c>
      <c r="N18" s="10">
        <f>M18*Вводные_данные!$B$6</f>
      </c>
      <c r="O18" s="13">
        <f>IF(D18="",0,IFERROR(VLOOKUP(D18,Вводные_данные!$D$15:$E$21,2,FALSE),0))</f>
      </c>
      <c r="P18" s="13">
        <f>N18*O18</f>
      </c>
      <c r="Q18" s="10">
        <f>IF(D18="",0,IFERROR(VLOOKUP(D18,Вводные_данные!$D$15:$G$21,4,FALSE),0))</f>
      </c>
      <c r="R18" s="10">
        <f>M18*Q18</f>
      </c>
      <c r="S18" s="13">
        <f>R18*Вводные_данные!$E$24</f>
      </c>
      <c r="T18" s="13">
        <f>K18+L18+P18+S18</f>
      </c>
      <c r="U18" s="16" t="s">
        <v>291</v>
      </c>
    </row>
    <row r="19" spans="1:21" x14ac:dyDescent="0.25">
      <c r="A19" s="10">
        <v>15</v>
      </c>
      <c r="B19" s="16" t="s">
        <v>292</v>
      </c>
      <c r="C19" s="16" t="s">
        <v>293</v>
      </c>
      <c r="D19" s="10" t="s">
        <v>152</v>
      </c>
      <c r="E19" s="10" t="s">
        <v>88</v>
      </c>
      <c r="F19" s="10" t="s">
        <v>290</v>
      </c>
      <c r="G19" s="10" t="s">
        <v>242</v>
      </c>
      <c r="H19" s="22">
        <v>3</v>
      </c>
      <c r="I19" s="10">
        <f>H19*Вводные_данные!$B$6</f>
      </c>
      <c r="J19" s="13">
        <f>IFERROR(VLOOKUP(E19,Вводные_данные!$A$15:$B$21,2,FALSE),0)</f>
      </c>
      <c r="K19" s="13">
        <f>I19*J19</f>
      </c>
      <c r="L19" s="13">
        <f>K19*Вводные_данные!$E$25</f>
      </c>
      <c r="M19" s="22">
        <v>0</v>
      </c>
      <c r="N19" s="10">
        <f>M19*Вводные_данные!$B$6</f>
      </c>
      <c r="O19" s="13">
        <f>IF(D19="",0,IFERROR(VLOOKUP(D19,Вводные_данные!$D$15:$E$21,2,FALSE),0))</f>
      </c>
      <c r="P19" s="13">
        <f>N19*O19</f>
      </c>
      <c r="Q19" s="10">
        <f>IF(D19="",0,IFERROR(VLOOKUP(D19,Вводные_данные!$D$15:$G$21,4,FALSE),0))</f>
      </c>
      <c r="R19" s="10">
        <f>M19*Q19</f>
      </c>
      <c r="S19" s="13">
        <f>R19*Вводные_данные!$E$24</f>
      </c>
      <c r="T19" s="13">
        <f>K19+L19+P19+S19</f>
      </c>
      <c r="U19" s="16" t="s">
        <v>294</v>
      </c>
    </row>
    <row r="20" spans="1:21" x14ac:dyDescent="0.25">
      <c r="A20" s="10">
        <v>20</v>
      </c>
      <c r="B20" s="16" t="s">
        <v>295</v>
      </c>
      <c r="C20" s="16" t="s">
        <v>296</v>
      </c>
      <c r="D20" s="10" t="s">
        <v>152</v>
      </c>
      <c r="E20" s="10" t="s">
        <v>88</v>
      </c>
      <c r="F20" s="10" t="s">
        <v>297</v>
      </c>
      <c r="G20" s="10" t="s">
        <v>242</v>
      </c>
      <c r="H20" s="22">
        <v>1</v>
      </c>
      <c r="I20" s="10">
        <f>H20*Вводные_данные!$B$6</f>
      </c>
      <c r="J20" s="13">
        <f>IFERROR(VLOOKUP(E20,Вводные_данные!$A$15:$B$21,2,FALSE),0)</f>
      </c>
      <c r="K20" s="13">
        <f>I20*J20</f>
      </c>
      <c r="L20" s="13">
        <f>K20*Вводные_данные!$E$25</f>
      </c>
      <c r="M20" s="22">
        <v>0</v>
      </c>
      <c r="N20" s="10">
        <f>M20*Вводные_данные!$B$6</f>
      </c>
      <c r="O20" s="13">
        <f>IF(D20="",0,IFERROR(VLOOKUP(D20,Вводные_данные!$D$15:$E$21,2,FALSE),0))</f>
      </c>
      <c r="P20" s="13">
        <f>N20*O20</f>
      </c>
      <c r="Q20" s="10">
        <f>IF(D20="",0,IFERROR(VLOOKUP(D20,Вводные_данные!$D$15:$G$21,4,FALSE),0))</f>
      </c>
      <c r="R20" s="10">
        <f>M20*Q20</f>
      </c>
      <c r="S20" s="13">
        <f>R20*Вводные_данные!$E$24</f>
      </c>
      <c r="T20" s="13">
        <f>K20+L20+P20+S20</f>
      </c>
      <c r="U20" s="16" t="s">
        <v>298</v>
      </c>
    </row>
    <row r="21" spans="1:21" x14ac:dyDescent="0.25">
      <c r="A21" s="10">
        <v>21</v>
      </c>
      <c r="B21" s="16" t="s">
        <v>299</v>
      </c>
      <c r="C21" s="16" t="s">
        <v>300</v>
      </c>
      <c r="D21" s="10" t="s">
        <v>95</v>
      </c>
      <c r="E21" s="10" t="s">
        <v>88</v>
      </c>
      <c r="F21" s="10" t="s">
        <v>255</v>
      </c>
      <c r="G21" s="10" t="s">
        <v>256</v>
      </c>
      <c r="H21" s="22">
        <v>4</v>
      </c>
      <c r="I21" s="10">
        <f>H21*Вводные_данные!$B$6</f>
      </c>
      <c r="J21" s="13">
        <f>IFERROR(VLOOKUP(E21,Вводные_данные!$A$15:$B$21,2,FALSE),0)</f>
      </c>
      <c r="K21" s="13">
        <f>I21*J21</f>
      </c>
      <c r="L21" s="13">
        <f>K21*Вводные_данные!$E$25</f>
      </c>
      <c r="M21" s="22">
        <v>2.5</v>
      </c>
      <c r="N21" s="10">
        <f>M21*Вводные_данные!$B$6</f>
      </c>
      <c r="O21" s="13">
        <f>IF(D21="",0,IFERROR(VLOOKUP(D21,Вводные_данные!$D$15:$E$21,2,FALSE),0))</f>
      </c>
      <c r="P21" s="13">
        <f>N21*O21</f>
      </c>
      <c r="Q21" s="10">
        <f>IF(D21="",0,IFERROR(VLOOKUP(D21,Вводные_данные!$D$15:$G$21,4,FALSE),0))</f>
      </c>
      <c r="R21" s="10">
        <f>M21*Q21</f>
      </c>
      <c r="S21" s="13">
        <f>R21*Вводные_данные!$E$24</f>
      </c>
      <c r="T21" s="13">
        <f>K21+L21+P21+S21</f>
      </c>
      <c r="U21" s="16" t="s">
        <v>301</v>
      </c>
    </row>
    <row r="22" spans="1:21" x14ac:dyDescent="0.25">
      <c r="A22" s="10">
        <v>22</v>
      </c>
      <c r="B22" s="16" t="s">
        <v>302</v>
      </c>
      <c r="C22" s="16" t="s">
        <v>303</v>
      </c>
      <c r="D22" s="10" t="s">
        <v>152</v>
      </c>
      <c r="E22" s="10" t="s">
        <v>88</v>
      </c>
      <c r="F22" s="10" t="s">
        <v>290</v>
      </c>
      <c r="G22" s="10" t="s">
        <v>242</v>
      </c>
      <c r="H22" s="22">
        <v>2.5</v>
      </c>
      <c r="I22" s="10">
        <f>H22*Вводные_данные!$B$6</f>
      </c>
      <c r="J22" s="13">
        <f>IFERROR(VLOOKUP(E22,Вводные_данные!$A$15:$B$21,2,FALSE),0)</f>
      </c>
      <c r="K22" s="13">
        <f>I22*J22</f>
      </c>
      <c r="L22" s="13">
        <f>K22*Вводные_данные!$E$25</f>
      </c>
      <c r="M22" s="22">
        <v>0</v>
      </c>
      <c r="N22" s="10">
        <f>M22*Вводные_данные!$B$6</f>
      </c>
      <c r="O22" s="13">
        <f>IF(D22="",0,IFERROR(VLOOKUP(D22,Вводные_данные!$D$15:$E$21,2,FALSE),0))</f>
      </c>
      <c r="P22" s="13">
        <f>N22*O22</f>
      </c>
      <c r="Q22" s="10">
        <f>IF(D22="",0,IFERROR(VLOOKUP(D22,Вводные_данные!$D$15:$G$21,4,FALSE),0))</f>
      </c>
      <c r="R22" s="10">
        <f>M22*Q22</f>
      </c>
      <c r="S22" s="13">
        <f>R22*Вводные_данные!$E$24</f>
      </c>
      <c r="T22" s="13">
        <f>K22+L22+P22+S22</f>
      </c>
      <c r="U22" s="16" t="s">
        <v>304</v>
      </c>
    </row>
    <row r="23" spans="1:21" x14ac:dyDescent="0.25">
      <c r="A23" s="10">
        <v>23</v>
      </c>
      <c r="B23" s="16" t="s">
        <v>305</v>
      </c>
      <c r="C23" s="16" t="s">
        <v>306</v>
      </c>
      <c r="D23" s="10" t="s">
        <v>152</v>
      </c>
      <c r="E23" s="10" t="s">
        <v>88</v>
      </c>
      <c r="F23" s="10" t="s">
        <v>297</v>
      </c>
      <c r="G23" s="10" t="s">
        <v>242</v>
      </c>
      <c r="H23" s="22">
        <v>1</v>
      </c>
      <c r="I23" s="10">
        <f>H23*Вводные_данные!$B$6</f>
      </c>
      <c r="J23" s="13">
        <f>IFERROR(VLOOKUP(E23,Вводные_данные!$A$15:$B$21,2,FALSE),0)</f>
      </c>
      <c r="K23" s="13">
        <f>I23*J23</f>
      </c>
      <c r="L23" s="13">
        <f>K23*Вводные_данные!$E$25</f>
      </c>
      <c r="M23" s="22">
        <v>0</v>
      </c>
      <c r="N23" s="10">
        <f>M23*Вводные_данные!$B$6</f>
      </c>
      <c r="O23" s="13">
        <f>IF(D23="",0,IFERROR(VLOOKUP(D23,Вводные_данные!$D$15:$E$21,2,FALSE),0))</f>
      </c>
      <c r="P23" s="13">
        <f>N23*O23</f>
      </c>
      <c r="Q23" s="10">
        <f>IF(D23="",0,IFERROR(VLOOKUP(D23,Вводные_данные!$D$15:$G$21,4,FALSE),0))</f>
      </c>
      <c r="R23" s="10">
        <f>M23*Q23</f>
      </c>
      <c r="S23" s="13">
        <f>R23*Вводные_данные!$E$24</f>
      </c>
      <c r="T23" s="13">
        <f>K23+L23+P23+S23</f>
      </c>
      <c r="U23" s="16" t="s">
        <v>307</v>
      </c>
    </row>
    <row r="24" spans="1:21" x14ac:dyDescent="0.25">
      <c r="A24" s="10">
        <v>24</v>
      </c>
      <c r="B24" s="16" t="s">
        <v>308</v>
      </c>
      <c r="C24" s="16" t="s">
        <v>309</v>
      </c>
      <c r="D24" s="10" t="s">
        <v>152</v>
      </c>
      <c r="E24" s="10" t="s">
        <v>82</v>
      </c>
      <c r="F24" s="10" t="s">
        <v>260</v>
      </c>
      <c r="G24" s="10" t="s">
        <v>242</v>
      </c>
      <c r="H24" s="22">
        <v>2</v>
      </c>
      <c r="I24" s="10">
        <f>H24*Вводные_данные!$B$6</f>
      </c>
      <c r="J24" s="13">
        <f>IFERROR(VLOOKUP(E24,Вводные_данные!$A$15:$B$21,2,FALSE),0)</f>
      </c>
      <c r="K24" s="13">
        <f>I24*J24</f>
      </c>
      <c r="L24" s="13">
        <f>K24*Вводные_данные!$E$25</f>
      </c>
      <c r="M24" s="22">
        <v>0</v>
      </c>
      <c r="N24" s="10">
        <f>M24*Вводные_данные!$B$6</f>
      </c>
      <c r="O24" s="13">
        <f>IF(D24="",0,IFERROR(VLOOKUP(D24,Вводные_данные!$D$15:$E$21,2,FALSE),0))</f>
      </c>
      <c r="P24" s="13">
        <f>N24*O24</f>
      </c>
      <c r="Q24" s="10">
        <f>IF(D24="",0,IFERROR(VLOOKUP(D24,Вводные_данные!$D$15:$G$21,4,FALSE),0))</f>
      </c>
      <c r="R24" s="10">
        <f>M24*Q24</f>
      </c>
      <c r="S24" s="13">
        <f>R24*Вводные_данные!$E$24</f>
      </c>
      <c r="T24" s="13">
        <f>K24+L24+P24+S24</f>
      </c>
      <c r="U24" s="16" t="s">
        <v>310</v>
      </c>
    </row>
    <row r="25" spans="1:21" x14ac:dyDescent="0.25">
      <c r="A25" s="10">
        <v>25</v>
      </c>
      <c r="B25" s="16" t="s">
        <v>311</v>
      </c>
      <c r="C25" s="16" t="s">
        <v>312</v>
      </c>
      <c r="D25" s="10" t="s">
        <v>152</v>
      </c>
      <c r="E25" s="10" t="s">
        <v>82</v>
      </c>
      <c r="F25" s="10" t="s">
        <v>313</v>
      </c>
      <c r="G25" s="10" t="s">
        <v>242</v>
      </c>
      <c r="H25" s="22">
        <v>1</v>
      </c>
      <c r="I25" s="10">
        <f>H25*Вводные_данные!$B$6</f>
      </c>
      <c r="J25" s="13">
        <f>IFERROR(VLOOKUP(E25,Вводные_данные!$A$15:$B$21,2,FALSE),0)</f>
      </c>
      <c r="K25" s="13">
        <f>I25*J25</f>
      </c>
      <c r="L25" s="13">
        <f>K25*Вводные_данные!$E$25</f>
      </c>
      <c r="M25" s="22">
        <v>0</v>
      </c>
      <c r="N25" s="10">
        <f>M25*Вводные_данные!$B$6</f>
      </c>
      <c r="O25" s="13">
        <f>IF(D25="",0,IFERROR(VLOOKUP(D25,Вводные_данные!$D$15:$E$21,2,FALSE),0))</f>
      </c>
      <c r="P25" s="13">
        <f>N25*O25</f>
      </c>
      <c r="Q25" s="10">
        <f>IF(D25="",0,IFERROR(VLOOKUP(D25,Вводные_данные!$D$15:$G$21,4,FALSE),0))</f>
      </c>
      <c r="R25" s="10">
        <f>M25*Q25</f>
      </c>
      <c r="S25" s="13">
        <f>R25*Вводные_данные!$E$24</f>
      </c>
      <c r="T25" s="13">
        <f>K25+L25+P25+S25</f>
      </c>
      <c r="U25" s="16" t="s">
        <v>314</v>
      </c>
    </row>
    <row r="26" spans="1:21" x14ac:dyDescent="0.25">
      <c r="A26" s="10">
        <v>26</v>
      </c>
      <c r="B26" s="16" t="s">
        <v>315</v>
      </c>
      <c r="C26" s="16" t="s">
        <v>316</v>
      </c>
      <c r="D26" s="10" t="s">
        <v>152</v>
      </c>
      <c r="E26" s="10" t="s">
        <v>94</v>
      </c>
      <c r="F26" s="10" t="s">
        <v>317</v>
      </c>
      <c r="G26" s="10" t="s">
        <v>242</v>
      </c>
      <c r="H26" s="22">
        <v>4.5</v>
      </c>
      <c r="I26" s="10">
        <f>H26*Вводные_данные!$B$6</f>
      </c>
      <c r="J26" s="13">
        <f>IFERROR(VLOOKUP(E26,Вводные_данные!$A$15:$B$21,2,FALSE),0)</f>
      </c>
      <c r="K26" s="13">
        <f>I26*J26</f>
      </c>
      <c r="L26" s="13">
        <f>K26*Вводные_данные!$E$25</f>
      </c>
      <c r="M26" s="22">
        <v>0</v>
      </c>
      <c r="N26" s="10">
        <f>M26*Вводные_данные!$B$6</f>
      </c>
      <c r="O26" s="13">
        <f>IF(D26="",0,IFERROR(VLOOKUP(D26,Вводные_данные!$D$15:$E$21,2,FALSE),0))</f>
      </c>
      <c r="P26" s="13">
        <f>N26*O26</f>
      </c>
      <c r="Q26" s="10">
        <f>IF(D26="",0,IFERROR(VLOOKUP(D26,Вводные_данные!$D$15:$G$21,4,FALSE),0))</f>
      </c>
      <c r="R26" s="10">
        <f>M26*Q26</f>
      </c>
      <c r="S26" s="13">
        <f>R26*Вводные_данные!$E$24</f>
      </c>
      <c r="T26" s="13">
        <f>K26+L26+P26+S26</f>
      </c>
      <c r="U26" s="16" t="s">
        <v>318</v>
      </c>
    </row>
    <row r="27" spans="1:21" x14ac:dyDescent="0.25">
      <c r="A27" s="10">
        <v>27</v>
      </c>
      <c r="B27" s="16" t="s">
        <v>319</v>
      </c>
      <c r="C27" s="16" t="s">
        <v>320</v>
      </c>
      <c r="D27" s="10" t="s">
        <v>98</v>
      </c>
      <c r="E27" s="10" t="s">
        <v>94</v>
      </c>
      <c r="F27" s="10" t="s">
        <v>321</v>
      </c>
      <c r="G27" s="10" t="s">
        <v>237</v>
      </c>
      <c r="H27" s="22">
        <v>3</v>
      </c>
      <c r="I27" s="10">
        <f>H27*Вводные_данные!$B$6</f>
      </c>
      <c r="J27" s="13">
        <f>IFERROR(VLOOKUP(E27,Вводные_данные!$A$15:$B$21,2,FALSE),0)</f>
      </c>
      <c r="K27" s="13">
        <f>I27*J27</f>
      </c>
      <c r="L27" s="13">
        <f>K27*Вводные_данные!$E$25</f>
      </c>
      <c r="M27" s="22">
        <v>0.6</v>
      </c>
      <c r="N27" s="10">
        <f>M27*Вводные_данные!$B$6</f>
      </c>
      <c r="O27" s="13">
        <f>IF(D27="",0,IFERROR(VLOOKUP(D27,Вводные_данные!$D$15:$E$21,2,FALSE),0))</f>
      </c>
      <c r="P27" s="13">
        <f>N27*O27</f>
      </c>
      <c r="Q27" s="10">
        <f>IF(D27="",0,IFERROR(VLOOKUP(D27,Вводные_данные!$D$15:$G$21,4,FALSE),0))</f>
      </c>
      <c r="R27" s="10">
        <f>M27*Q27</f>
      </c>
      <c r="S27" s="13">
        <f>R27*Вводные_данные!$E$24</f>
      </c>
      <c r="T27" s="13">
        <f>K27+L27+P27+S27</f>
      </c>
      <c r="U27" s="16" t="s">
        <v>322</v>
      </c>
    </row>
    <row r="28" spans="1:21" x14ac:dyDescent="0.25">
      <c r="A28" s="10">
        <v>28</v>
      </c>
      <c r="B28" s="16" t="s">
        <v>323</v>
      </c>
      <c r="C28" s="16" t="s">
        <v>324</v>
      </c>
      <c r="D28" s="10" t="s">
        <v>98</v>
      </c>
      <c r="E28" s="10" t="s">
        <v>94</v>
      </c>
      <c r="F28" s="10" t="s">
        <v>325</v>
      </c>
      <c r="G28" s="10" t="s">
        <v>251</v>
      </c>
      <c r="H28" s="22">
        <v>1.8</v>
      </c>
      <c r="I28" s="10">
        <f>H28*Вводные_данные!$B$6</f>
      </c>
      <c r="J28" s="13">
        <f>IFERROR(VLOOKUP(E28,Вводные_данные!$A$15:$B$21,2,FALSE),0)</f>
      </c>
      <c r="K28" s="13">
        <f>I28*J28</f>
      </c>
      <c r="L28" s="13">
        <f>K28*Вводные_данные!$E$25</f>
      </c>
      <c r="M28" s="22">
        <v>0.6</v>
      </c>
      <c r="N28" s="10">
        <f>M28*Вводные_данные!$B$6</f>
      </c>
      <c r="O28" s="13">
        <f>IF(D28="",0,IFERROR(VLOOKUP(D28,Вводные_данные!$D$15:$E$21,2,FALSE),0))</f>
      </c>
      <c r="P28" s="13">
        <f>N28*O28</f>
      </c>
      <c r="Q28" s="10">
        <f>IF(D28="",0,IFERROR(VLOOKUP(D28,Вводные_данные!$D$15:$G$21,4,FALSE),0))</f>
      </c>
      <c r="R28" s="10">
        <f>M28*Q28</f>
      </c>
      <c r="S28" s="13">
        <f>R28*Вводные_данные!$E$24</f>
      </c>
      <c r="T28" s="13">
        <f>K28+L28+P28+S28</f>
      </c>
      <c r="U28" s="16" t="s">
        <v>326</v>
      </c>
    </row>
    <row r="30" spans="2:20" x14ac:dyDescent="0.25">
      <c r="B30" s="3" t="s">
        <v>327</v>
      </c>
      <c r="G30" t="s">
        <v>242</v>
      </c>
      <c r="H30" s="20">
        <f>SUM(H5:H28)</f>
      </c>
      <c r="I30" s="20">
        <f>SUM(I5:I28)</f>
      </c>
      <c r="J30" t="s">
        <v>242</v>
      </c>
      <c r="K30" s="20">
        <f>SUM(K5:K28)</f>
      </c>
      <c r="L30" s="20">
        <f>SUM(L5:L28)</f>
      </c>
      <c r="N30" s="20">
        <f>SUM(N5:N28)</f>
      </c>
      <c r="P30" s="20">
        <f>SUM(P5:P28)</f>
      </c>
      <c r="S30" s="20">
        <f>SUM(S5:S28)</f>
      </c>
      <c r="T30" s="20">
        <f>SUM(T5:T28)</f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FormatPr defaultRowHeight="15" outlineLevelRow="0" outlineLevelCol="0" x14ac:dyDescent="55"/>
  <cols>
    <col min="1" max="1" width="50" customWidth="1"/>
    <col min="2" max="2" width="22" customWidth="1"/>
    <col min="3" max="3" width="50" customWidth="1"/>
    <col min="4" max="10" width="15" customWidth="1"/>
  </cols>
  <sheetData>
    <row r="1" spans="1:10" x14ac:dyDescent="0.25">
      <c r="A1" s="2" t="s">
        <v>328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329</v>
      </c>
      <c r="B2"/>
      <c r="C2"/>
      <c r="D2"/>
      <c r="E2"/>
      <c r="F2"/>
      <c r="G2"/>
      <c r="H2"/>
      <c r="I2"/>
      <c r="J2"/>
    </row>
    <row r="4" spans="1:3" x14ac:dyDescent="0.25">
      <c r="A4" s="23" t="s">
        <v>330</v>
      </c>
      <c r="B4" s="23" t="s">
        <v>120</v>
      </c>
      <c r="C4" s="23" t="s">
        <v>331</v>
      </c>
    </row>
    <row r="5" spans="1:3" x14ac:dyDescent="0.25">
      <c r="A5" s="10" t="s">
        <v>332</v>
      </c>
      <c r="B5" s="13">
        <f>Материалы!$F$16</f>
      </c>
      <c r="C5" s="10" t="s">
        <v>333</v>
      </c>
    </row>
    <row r="6" spans="1:3" x14ac:dyDescent="0.25">
      <c r="A6" s="10" t="s">
        <v>334</v>
      </c>
      <c r="B6" s="13">
        <f>Операции!$T$30</f>
      </c>
      <c r="C6" s="10" t="s">
        <v>335</v>
      </c>
    </row>
    <row r="7" spans="1:3" x14ac:dyDescent="0.25">
      <c r="A7" s="10" t="s">
        <v>336</v>
      </c>
      <c r="B7" s="13">
        <f>Операции!$K$30+Операции!$L$30</f>
      </c>
      <c r="C7" s="10" t="s">
        <v>337</v>
      </c>
    </row>
    <row r="8" spans="1:3" x14ac:dyDescent="0.25">
      <c r="A8" s="10" t="s">
        <v>338</v>
      </c>
      <c r="B8" s="13">
        <f>B7*Вводные_данные!$E$27</f>
      </c>
      <c r="C8" s="10" t="s">
        <v>339</v>
      </c>
    </row>
    <row r="9" spans="1:3" x14ac:dyDescent="0.25">
      <c r="A9" s="10" t="s">
        <v>340</v>
      </c>
      <c r="B9" s="13">
        <f>B5+B6+B8</f>
      </c>
      <c r="C9" s="10" t="s">
        <v>341</v>
      </c>
    </row>
    <row r="10" spans="1:3" x14ac:dyDescent="0.25">
      <c r="A10" s="10" t="s">
        <v>342</v>
      </c>
      <c r="B10" s="13">
        <f>B9*Вводные_данные!$E$29</f>
      </c>
      <c r="C10" s="10" t="s">
        <v>343</v>
      </c>
    </row>
    <row r="11" spans="1:3" x14ac:dyDescent="0.25">
      <c r="A11" s="10" t="s">
        <v>344</v>
      </c>
      <c r="B11" s="13">
        <f>B9+B10</f>
      </c>
      <c r="C11" s="10" t="s">
        <v>152</v>
      </c>
    </row>
    <row r="12" spans="1:3" x14ac:dyDescent="0.25">
      <c r="A12" s="10" t="s">
        <v>345</v>
      </c>
      <c r="B12" s="13">
        <f>B11*Вводные_данные!$E$28</f>
      </c>
      <c r="C12" s="10" t="s">
        <v>346</v>
      </c>
    </row>
    <row r="13" spans="1:3" x14ac:dyDescent="0.25">
      <c r="A13" s="24" t="s">
        <v>347</v>
      </c>
      <c r="B13" s="20">
        <f>B11+B12</f>
      </c>
      <c r="C13" s="10" t="s">
        <v>348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0" customWidth="1"/>
    <col min="2" max="2" width="22" customWidth="1"/>
    <col min="3" max="3" width="40" customWidth="1"/>
    <col min="4" max="10" width="15" customWidth="1"/>
  </cols>
  <sheetData>
    <row r="1" spans="1:10" x14ac:dyDescent="0.25">
      <c r="A1" s="2" t="s">
        <v>349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350</v>
      </c>
      <c r="B2"/>
      <c r="C2"/>
      <c r="D2"/>
      <c r="E2"/>
      <c r="F2"/>
      <c r="G2"/>
      <c r="H2"/>
      <c r="I2"/>
      <c r="J2"/>
    </row>
    <row r="4" spans="1:3" x14ac:dyDescent="0.25">
      <c r="A4" s="23" t="s">
        <v>119</v>
      </c>
      <c r="B4" s="23" t="s">
        <v>120</v>
      </c>
      <c r="C4" s="23" t="s">
        <v>351</v>
      </c>
    </row>
    <row r="5" spans="1:3" x14ac:dyDescent="0.25">
      <c r="A5" s="10" t="s">
        <v>352</v>
      </c>
      <c r="B5" s="18">
        <v>940</v>
      </c>
      <c r="C5" s="10" t="s">
        <v>353</v>
      </c>
    </row>
    <row r="6" spans="1:3" x14ac:dyDescent="0.25">
      <c r="A6" s="10" t="s">
        <v>354</v>
      </c>
      <c r="B6" s="22">
        <v>1</v>
      </c>
      <c r="C6" s="10" t="s">
        <v>355</v>
      </c>
    </row>
    <row r="7" spans="1:3" x14ac:dyDescent="0.25">
      <c r="A7" s="10" t="s">
        <v>356</v>
      </c>
      <c r="B7" s="18">
        <v>120</v>
      </c>
      <c r="C7" s="10" t="s">
        <v>357</v>
      </c>
    </row>
    <row r="8" spans="1:3" x14ac:dyDescent="0.25">
      <c r="A8" s="10" t="s">
        <v>358</v>
      </c>
      <c r="B8" s="18">
        <v>25000</v>
      </c>
      <c r="C8" s="10" t="s">
        <v>359</v>
      </c>
    </row>
    <row r="9" spans="1:3" x14ac:dyDescent="0.25">
      <c r="A9" s="10" t="s">
        <v>360</v>
      </c>
      <c r="B9" s="18">
        <v>35000</v>
      </c>
      <c r="C9" s="10" t="s">
        <v>361</v>
      </c>
    </row>
    <row r="10" spans="1:3" x14ac:dyDescent="0.25">
      <c r="A10" s="10" t="s">
        <v>362</v>
      </c>
      <c r="B10" s="22">
        <v>0.005</v>
      </c>
      <c r="C10" s="10" t="s">
        <v>363</v>
      </c>
    </row>
    <row r="12" spans="1:3" x14ac:dyDescent="0.25">
      <c r="A12" s="10" t="s">
        <v>364</v>
      </c>
      <c r="B12" s="13">
        <f>B5*B7*B6</f>
      </c>
      <c r="C12" s="10" t="s">
        <v>365</v>
      </c>
    </row>
    <row r="13" spans="1:3" x14ac:dyDescent="0.25">
      <c r="A13" s="10" t="s">
        <v>366</v>
      </c>
      <c r="B13" s="13">
        <f>B8</f>
      </c>
      <c r="C13" s="10" t="s">
        <v>152</v>
      </c>
    </row>
    <row r="14" spans="1:3" x14ac:dyDescent="0.25">
      <c r="A14" s="10" t="s">
        <v>367</v>
      </c>
      <c r="B14" s="13">
        <f>B9</f>
      </c>
      <c r="C14" s="10" t="s">
        <v>152</v>
      </c>
    </row>
    <row r="15" spans="1:3" x14ac:dyDescent="0.25">
      <c r="A15" s="10" t="s">
        <v>368</v>
      </c>
      <c r="B15" s="13">
        <f>Накладные_и_прибыль!$B$13*B10</f>
      </c>
      <c r="C15" s="10" t="s">
        <v>369</v>
      </c>
    </row>
    <row r="16" spans="1:3" x14ac:dyDescent="0.25">
      <c r="A16" s="24" t="s">
        <v>370</v>
      </c>
      <c r="B16" s="20">
        <f>SUM(B12:B15)</f>
      </c>
      <c r="C16" s="10" t="s">
        <v>371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FormatPr defaultRowHeight="15" outlineLevelRow="0" outlineLevelCol="0" x14ac:dyDescent="55"/>
  <cols>
    <col min="1" max="1" width="50" customWidth="1"/>
    <col min="2" max="2" width="22" customWidth="1"/>
    <col min="3" max="3" width="45" customWidth="1"/>
    <col min="4" max="10" width="15" customWidth="1"/>
  </cols>
  <sheetData>
    <row r="1" spans="1:10" x14ac:dyDescent="0.25">
      <c r="A1" s="2" t="s">
        <v>372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>
        <f>"Стоимость за 1 шт. и за партию "&amp;TEXT(Вводные_данные!$B$6,"0")&amp;" шт., с учетом НДС (ставка во вводных данных)."</f>
      </c>
      <c r="B2"/>
      <c r="C2"/>
      <c r="D2"/>
      <c r="E2"/>
      <c r="F2"/>
      <c r="G2"/>
      <c r="H2"/>
      <c r="I2"/>
      <c r="J2"/>
    </row>
    <row r="4" spans="1:3" x14ac:dyDescent="0.25">
      <c r="A4" s="23" t="s">
        <v>330</v>
      </c>
      <c r="B4" s="23" t="s">
        <v>373</v>
      </c>
      <c r="C4" s="23" t="s">
        <v>121</v>
      </c>
    </row>
    <row r="5" spans="1:3" x14ac:dyDescent="0.25">
      <c r="A5" s="10" t="s">
        <v>374</v>
      </c>
      <c r="B5" s="13">
        <f>Накладные_и_прибыль!$B$5</f>
      </c>
      <c r="C5" s="10" t="s">
        <v>152</v>
      </c>
    </row>
    <row r="6" spans="1:3" x14ac:dyDescent="0.25">
      <c r="A6" s="10" t="s">
        <v>375</v>
      </c>
      <c r="B6" s="13">
        <f>Накладные_и_прибыль!$B$6</f>
      </c>
      <c r="C6" s="10" t="s">
        <v>152</v>
      </c>
    </row>
    <row r="7" spans="1:3" x14ac:dyDescent="0.25">
      <c r="A7" s="10" t="s">
        <v>376</v>
      </c>
      <c r="B7" s="13">
        <f>Накладные_и_прибыль!$B$7</f>
      </c>
      <c r="C7" s="10" t="s">
        <v>152</v>
      </c>
    </row>
    <row r="8" spans="1:3" x14ac:dyDescent="0.25">
      <c r="A8" s="10" t="s">
        <v>377</v>
      </c>
      <c r="B8" s="13">
        <f>Накладные_и_прибыль!$B$10</f>
      </c>
      <c r="C8" s="10" t="s">
        <v>152</v>
      </c>
    </row>
    <row r="9" spans="1:3" x14ac:dyDescent="0.25">
      <c r="A9" s="10" t="s">
        <v>378</v>
      </c>
      <c r="B9" s="13">
        <f>Накладные_и_прибыль!$B$12</f>
      </c>
      <c r="C9" s="10" t="s">
        <v>152</v>
      </c>
    </row>
    <row r="10" spans="1:3" x14ac:dyDescent="0.25">
      <c r="A10" s="24" t="s">
        <v>379</v>
      </c>
      <c r="B10" s="20">
        <f>Накладные_и_прибыль!$B$13</f>
      </c>
      <c r="C10" s="10" t="s">
        <v>152</v>
      </c>
    </row>
    <row r="11" spans="1:3" x14ac:dyDescent="0.25">
      <c r="A11" s="10" t="s">
        <v>380</v>
      </c>
      <c r="B11" s="13">
        <f>Транспорт!$B$16</f>
      </c>
      <c r="C11" s="10" t="s">
        <v>152</v>
      </c>
    </row>
    <row r="12" spans="1:3" x14ac:dyDescent="0.25">
      <c r="A12" s="24" t="s">
        <v>381</v>
      </c>
      <c r="B12" s="20">
        <f>B10+B11</f>
      </c>
      <c r="C12" s="10" t="s">
        <v>152</v>
      </c>
    </row>
    <row r="13" spans="1:3" x14ac:dyDescent="0.25">
      <c r="A13" s="10" t="s">
        <v>382</v>
      </c>
      <c r="B13" s="13">
        <f>B12*Вводные_данные!$E$26</f>
      </c>
      <c r="C13" s="10" t="s">
        <v>152</v>
      </c>
    </row>
    <row r="14" spans="1:3" x14ac:dyDescent="0.25">
      <c r="A14" s="25" t="s">
        <v>383</v>
      </c>
      <c r="B14" s="26">
        <f>B12+B13</f>
      </c>
      <c r="C14" s="10" t="s">
        <v>152</v>
      </c>
    </row>
    <row r="15" spans="1:3" x14ac:dyDescent="0.25">
      <c r="A15" s="10" t="s">
        <v>384</v>
      </c>
      <c r="B15" s="13">
        <f>IF(Вводные_данные!$B$6=0,"-",B12/Вводные_данные!$B$6)</f>
      </c>
      <c r="C15" s="10" t="s">
        <v>152</v>
      </c>
    </row>
    <row r="16" spans="1:3" x14ac:dyDescent="0.25">
      <c r="A16" s="10" t="s">
        <v>385</v>
      </c>
      <c r="B16" s="13">
        <f>IF(Вводные_данные!$B$6=0,"-",B14/Вводные_данные!$B$6)</f>
      </c>
      <c r="C16" s="10" t="s">
        <v>152</v>
      </c>
    </row>
    <row r="17" spans="1:3" x14ac:dyDescent="0.25">
      <c r="A17" s="10">
        <f>IF(Вводные_данные!$E$23="","Стоимость 1 м² без НДС","Стоимость 1 м² ("&amp;Вводные_данные!$E$23&amp;") без НДС")</f>
      </c>
      <c r="B17" s="13">
        <f>IF(Вводные_данные!$B$23*Вводные_данные!$B$6=0,"-",B12/(Вводные_данные!$B$23*Вводные_данные!$B$6))</f>
      </c>
      <c r="C17" s="10" t="s">
        <v>386</v>
      </c>
    </row>
    <row r="18" spans="1:3" x14ac:dyDescent="0.25">
      <c r="A18" s="10">
        <f>IF(Вводные_данные!$E$23="","Стоимость 1 м² с НДС","Стоимость 1 м² ("&amp;Вводные_данные!$E$23&amp;") с НДС")</f>
      </c>
      <c r="B18" s="13">
        <f>IF(Вводные_данные!$B$23*Вводные_данные!$B$6=0,"-",B14/(Вводные_данные!$B$23*Вводные_данные!$B$6))</f>
      </c>
      <c r="C18" s="10" t="s">
        <v>386</v>
      </c>
    </row>
    <row r="19" spans="1:3" x14ac:dyDescent="0.25">
      <c r="A19" s="10">
        <f>IF(Вводные_данные!$H$23="","Стоимость 1 м.п. без НДС","Стоимость 1 м.п. ("&amp;Вводные_данные!$H$23&amp;") без НДС")</f>
      </c>
      <c r="B19" s="13">
        <f>IF(Вводные_данные!$B$24*Вводные_данные!$B$6=0,"-",B12/(Вводные_данные!$B$24*Вводные_данные!$B$6))</f>
      </c>
      <c r="C19" s="10" t="s">
        <v>387</v>
      </c>
    </row>
    <row r="20" spans="1:3" x14ac:dyDescent="0.25">
      <c r="A20" s="10">
        <f>IF(Вводные_данные!$H$23="","Стоимость 1 м.п. с НДС","Стоимость 1 м.п. ("&amp;Вводные_данные!$H$23&amp;") с НДС")</f>
      </c>
      <c r="B20" s="13">
        <f>IF(Вводные_данные!$B$24*Вводные_данные!$B$6=0,"-",B14/(Вводные_данные!$B$24*Вводные_данные!$B$6))</f>
      </c>
      <c r="C20" s="10" t="s">
        <v>387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4" width="30" customWidth="1"/>
  </cols>
  <sheetData>
    <row r="1" spans="1:1" x14ac:dyDescent="0.25">
      <c r="A1" s="2" t="s">
        <v>388</v>
      </c>
    </row>
    <row r="3" spans="1:4" x14ac:dyDescent="0.25">
      <c r="A3" s="3" t="s">
        <v>104</v>
      </c>
      <c r="B3" s="3" t="s">
        <v>107</v>
      </c>
      <c r="C3" s="3" t="s">
        <v>389</v>
      </c>
      <c r="D3" s="3" t="s">
        <v>390</v>
      </c>
    </row>
    <row r="4" spans="1:4" x14ac:dyDescent="0.25">
      <c r="A4" t="s">
        <v>105</v>
      </c>
      <c r="B4" t="s">
        <v>108</v>
      </c>
      <c r="C4" t="s">
        <v>391</v>
      </c>
      <c r="D4" t="s">
        <v>392</v>
      </c>
    </row>
    <row r="5" spans="1:4" x14ac:dyDescent="0.25">
      <c r="A5" t="s">
        <v>393</v>
      </c>
      <c r="B5" t="s">
        <v>394</v>
      </c>
      <c r="C5" t="s">
        <v>395</v>
      </c>
      <c r="D5" t="s">
        <v>396</v>
      </c>
    </row>
    <row r="6" spans="1:4" x14ac:dyDescent="0.25">
      <c r="A6" t="s">
        <v>397</v>
      </c>
      <c r="B6" t="s">
        <v>398</v>
      </c>
      <c r="C6" t="s">
        <v>399</v>
      </c>
      <c r="D6" t="s">
        <v>400</v>
      </c>
    </row>
    <row r="7" spans="1:4" x14ac:dyDescent="0.25">
      <c r="A7" t="s">
        <v>401</v>
      </c>
      <c r="C7" t="s">
        <v>402</v>
      </c>
      <c r="D7" t="s">
        <v>403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Титульный лист</vt:lpstr>
      <vt:lpstr>Инструкция_серия</vt:lpstr>
      <vt:lpstr>Вводные_данные</vt:lpstr>
      <vt:lpstr>Геометрия</vt:lpstr>
      <vt:lpstr>Материалы</vt:lpstr>
      <vt:lpstr>Операции</vt:lpstr>
      <vt:lpstr>Накладные_и_прибыль</vt:lpstr>
      <vt:lpstr>Транспорт</vt:lpstr>
      <vt:lpstr>ИТОГО</vt:lpstr>
      <vt:lpstr>Справочники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TK-Generator / RKM Module</dc:creator>
  <dc:title/>
  <dc:subject/>
  <dc:description/>
  <cp:keywords/>
  <cp:category/>
  <cp:lastModifiedBy>Unknown</cp:lastModifiedBy>
  <dcterms:created xsi:type="dcterms:W3CDTF">2026-04-06T15:37:31Z</dcterms:created>
  <dcterms:modified xsi:type="dcterms:W3CDTF">2026-04-06T15:37:31Z</dcterms:modified>
</cp:coreProperties>
</file>
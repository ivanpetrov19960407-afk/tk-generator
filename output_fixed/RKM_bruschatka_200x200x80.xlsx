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<sst xmlns="http://schemas.openxmlformats.org/spreadsheetml/2006/main" count="566" uniqueCount="417">
  <si>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</si>
  <si>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</si>
  <si>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</si>
  <si>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</si>
  <si>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</si>
  <si>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</si>
  <si>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</si>
  <si>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</si>
  <si>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</si>
  <si>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</si>
  <si>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</si>
  <si>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</si>
  <si>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</si>
  <si>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</si>
  <si>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</si>
  <si>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</si>
  <si>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</si>
  <si>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</si>
  <si>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</si>
  <si>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</si>
  <si>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</si>
  <si>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</si>
  <si>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</si>
  <si>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</si>
  <si>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</si>
  <si>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</si>
  <si>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</si>
  <si>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</si>
  <si>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</si>
  <si>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</si>
  <si>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</si>
  <si>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</si>
  <si>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</si>
  <si>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</si>
  <si>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</si>
  <si>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</si>
  <si>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</si>
  <si>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</si>
  <si>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</si>
  <si>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</si>
  <si>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</si>
  <si>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</si>
  <si>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</si>
  <si>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</si>
  <si>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</si>
  <si>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</si>
  <si>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</si>
  <si>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</si>
  <si>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</si>
  <si>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</si>
  <si>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</si>
  <si>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</si>
  <si>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</si>
  <si>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</si>
  <si>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</si>
  <si>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</si>
  <si>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Натуральный камень "Габбро-диабаз" (брусчатка) бучардированный, габаритные размеры 200х200х80, калибровка по четырем сторонам 200, со шлифовкой по всем четырем сторонам и ручной доработкой поверхностей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</si>
  <si>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</si>
  <si>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</si>
  <si>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</si>
  <si>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</si>
  <si>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</si>
  <si>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</si>
  <si>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</si>
  <si>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</si>
  <si>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</si>
  <si>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</si>
  <si>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</si>
  <si>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Гранит месторождения "Габбро-диабаз" </t>
  </si>
  <si>
    <t>Фактура/отделка (текст для титула)</t>
  </si>
  <si>
    <t>Бучардирование + лощение (по проекту/зонам отделки)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</si>
  <si>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</si>
  <si>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</si>
  <si>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</si>
  <si>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</si>
  <si>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</si>
  <si>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</si>
  <si>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</si>
  <si>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</si>
  <si>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</si>
  <si>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</si>
  <si>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</si>
  <si>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</si>
  <si>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</si>
  <si>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</si>
  <si>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</si>
  <si>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</si>
  <si>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</si>
  <si>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</si>
  <si>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</si>
  <si>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</si>
  <si>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</si>
  <si>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</si>
  <si>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</si>
  <si>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</si>
  <si>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</si>
  <si>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</si>
  <si>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</si>
  <si>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</si>
  <si>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</si>
  <si>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</si>
  <si>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</si>
  <si>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</si>
  <si>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</si>
  <si>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</si>
  <si>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</si>
  <si>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</si>
  <si>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</si>
  <si>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</si>
  <si>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</si>
  <si>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</si>
  <si>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</si>
  <si>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</si>
  <si>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</si>
  <si>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</si>
  <si>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</si>
  <si>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</si>
  <si>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</si>
  <si>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</si>
  <si>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</si>
  <si>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</si>
  <si>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</si>
  <si>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</si>
  <si>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</si>
  <si>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</si>
  <si>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</si>
  <si>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</si>
  <si>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</si>
  <si>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</si>
  <si>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</si>
  <si>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</si>
  <si>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</si>
  <si>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</si>
  <si>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</si>
  <si>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</si>
  <si>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</si>
  <si>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</si>
  <si>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</si>
  <si>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</si>
  <si>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</si>
  <si>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</si>
  <si>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</si>
  <si>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</si>
  <si>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</si>
  <si>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</si>
  <si>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</si>
  <si>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</si>
  <si>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</si>
  <si>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</si>
  <si>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</si>
  <si>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</si>
  <si>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</si>
  <si>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</si>
  <si>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</si>
  <si>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</si>
  <si>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</si>
  <si>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</si>
  <si>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</si>
  <si>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</si>
  <si>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</si>
  <si>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</si>
  <si>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</si>
  <si>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</si>
  <si>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</si>
  <si>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</si>
  <si>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</si>
  <si>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</si>
  <si>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</si>
  <si>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</si>
  <si>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</si>
  <si>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</si>
  <si>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</si>
  <si>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</si>
  <si>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"Габбро-диабаз"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</si>
  <si>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</si>
  <si>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</si>
  <si>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</si>
  <si>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</si>
  <si>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</si>
  <si>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</si>
  <si>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</si>
  <si>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</si>
  <si>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</si>
  <si>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</si>
  <si>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</si>
  <si>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</si>
  <si>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</si>
  <si>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</si>
  <si>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</si>
  <si>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</si>
  <si>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</si>
  <si>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30 м²/голову, 396.0 м² / 30 = 14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</si>
  <si>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</si>
  <si>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</si>
  <si>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</si>
  <si>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9900 компл на 9900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</si>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</sst>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3000</v>
      </c>
    </row>
    <row r="6" spans="1:5" x14ac:dyDescent="0.25">
      <c r="A6" t="s">
        <v>58</v>
      </c>
      <c r="B6" s="5">
        <v>9900</v>
      </c>
      <c r="D6" t="s">
        <v>59</v>
      </c>
      <c r="E6" s="5">
        <v>1.2</v>
      </c>
    </row>
    <row r="7" spans="1:5" x14ac:dyDescent="0.25">
      <c r="A7" t="s">
        <v>60</v>
      </c>
      <c r="B7" s="5">
        <v>200</v>
      </c>
      <c r="D7" t="s">
        <v>61</v>
      </c>
      <c r="E7" s="5">
        <v>1.4</v>
      </c>
    </row>
    <row r="8" spans="1:5" x14ac:dyDescent="0.25">
      <c r="A8" t="s">
        <v>62</v>
      </c>
      <c r="B8" s="5">
        <v>200</v>
      </c>
      <c r="D8" t="s">
        <v>63</v>
      </c>
      <c r="E8" s="5">
        <v>1.05</v>
      </c>
    </row>
    <row r="9" spans="1:5" x14ac:dyDescent="0.25">
      <c r="A9" t="s">
        <v>64</v>
      </c>
      <c r="B9" s="5">
        <v>80</v>
      </c>
      <c r="D9" t="s">
        <v>65</v>
      </c>
      <c r="E9" s="5">
        <v>200000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16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1.2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17</v>
      </c>
      <c r="B21" s="16" t="s">
        <v>299</v>
      </c>
      <c r="C21" s="16" t="s">
        <v>300</v>
      </c>
      <c r="D21" s="10" t="s">
        <v>92</v>
      </c>
      <c r="E21" s="10" t="s">
        <v>88</v>
      </c>
      <c r="F21" s="10" t="s">
        <v>255</v>
      </c>
      <c r="G21" s="10" t="s">
        <v>256</v>
      </c>
      <c r="H21" s="22">
        <v>7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18</v>
      </c>
      <c r="B22" s="16" t="s">
        <v>302</v>
      </c>
      <c r="C22" s="16" t="s">
        <v>303</v>
      </c>
      <c r="D22" s="10" t="s">
        <v>152</v>
      </c>
      <c r="E22" s="10" t="s">
        <v>82</v>
      </c>
      <c r="F22" s="10" t="s">
        <v>260</v>
      </c>
      <c r="G22" s="10" t="s">
        <v>242</v>
      </c>
      <c r="H22" s="22">
        <v>1.2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19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290</v>
      </c>
      <c r="G23" s="10" t="s">
        <v>242</v>
      </c>
      <c r="H23" s="22">
        <v>2.5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20</v>
      </c>
      <c r="B24" s="16" t="s">
        <v>308</v>
      </c>
      <c r="C24" s="16" t="s">
        <v>309</v>
      </c>
      <c r="D24" s="10" t="s">
        <v>152</v>
      </c>
      <c r="E24" s="10" t="s">
        <v>88</v>
      </c>
      <c r="F24" s="10" t="s">
        <v>310</v>
      </c>
      <c r="G24" s="10" t="s">
        <v>242</v>
      </c>
      <c r="H24" s="22">
        <v>1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311</v>
      </c>
    </row>
    <row r="25" spans="1:21" x14ac:dyDescent="0.25">
      <c r="A25" s="10">
        <v>21</v>
      </c>
      <c r="B25" s="16" t="s">
        <v>312</v>
      </c>
      <c r="C25" s="16" t="s">
        <v>313</v>
      </c>
      <c r="D25" s="10" t="s">
        <v>95</v>
      </c>
      <c r="E25" s="10" t="s">
        <v>88</v>
      </c>
      <c r="F25" s="10" t="s">
        <v>255</v>
      </c>
      <c r="G25" s="10" t="s">
        <v>256</v>
      </c>
      <c r="H25" s="22">
        <v>4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2.5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22</v>
      </c>
      <c r="B26" s="16" t="s">
        <v>315</v>
      </c>
      <c r="C26" s="16" t="s">
        <v>316</v>
      </c>
      <c r="D26" s="10" t="s">
        <v>152</v>
      </c>
      <c r="E26" s="10" t="s">
        <v>88</v>
      </c>
      <c r="F26" s="10" t="s">
        <v>290</v>
      </c>
      <c r="G26" s="10" t="s">
        <v>242</v>
      </c>
      <c r="H26" s="22">
        <v>2.5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317</v>
      </c>
    </row>
    <row r="27" spans="1:21" x14ac:dyDescent="0.25">
      <c r="A27" s="10">
        <v>23</v>
      </c>
      <c r="B27" s="16" t="s">
        <v>318</v>
      </c>
      <c r="C27" s="16" t="s">
        <v>319</v>
      </c>
      <c r="D27" s="10" t="s">
        <v>152</v>
      </c>
      <c r="E27" s="10" t="s">
        <v>88</v>
      </c>
      <c r="F27" s="10" t="s">
        <v>310</v>
      </c>
      <c r="G27" s="10" t="s">
        <v>242</v>
      </c>
      <c r="H27" s="22">
        <v>1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320</v>
      </c>
    </row>
    <row r="28" spans="1:21" x14ac:dyDescent="0.25">
      <c r="A28" s="10">
        <v>24</v>
      </c>
      <c r="B28" s="16" t="s">
        <v>321</v>
      </c>
      <c r="C28" s="16" t="s">
        <v>322</v>
      </c>
      <c r="D28" s="10" t="s">
        <v>152</v>
      </c>
      <c r="E28" s="10" t="s">
        <v>82</v>
      </c>
      <c r="F28" s="10" t="s">
        <v>260</v>
      </c>
      <c r="G28" s="10" t="s">
        <v>242</v>
      </c>
      <c r="H28" s="22">
        <v>2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323</v>
      </c>
    </row>
    <row r="29" spans="1:21" x14ac:dyDescent="0.25">
      <c r="A29" s="10">
        <v>25</v>
      </c>
      <c r="B29" s="16" t="s">
        <v>324</v>
      </c>
      <c r="C29" s="16" t="s">
        <v>325</v>
      </c>
      <c r="D29" s="10" t="s">
        <v>152</v>
      </c>
      <c r="E29" s="10" t="s">
        <v>82</v>
      </c>
      <c r="F29" s="10" t="s">
        <v>326</v>
      </c>
      <c r="G29" s="10" t="s">
        <v>242</v>
      </c>
      <c r="H29" s="22">
        <v>1</v>
      </c>
      <c r="I29" s="10">
        <f>H29*Вводные_данные!$B$6</f>
      </c>
      <c r="J29" s="13">
        <f>IFERROR(VLOOKUP(E29,Вводные_данные!$A$15:$B$21,2,FALSE),0)</f>
      </c>
      <c r="K29" s="13">
        <f>I29*J29</f>
      </c>
      <c r="L29" s="13">
        <f>K29*Вводные_данные!$E$25</f>
      </c>
      <c r="M29" s="22">
        <v>0</v>
      </c>
      <c r="N29" s="10">
        <f>M29*Вводные_данные!$B$6</f>
      </c>
      <c r="O29" s="13">
        <f>IF(D29="",0,IFERROR(VLOOKUP(D29,Вводные_данные!$D$15:$E$21,2,FALSE),0))</f>
      </c>
      <c r="P29" s="13">
        <f>N29*O29</f>
      </c>
      <c r="Q29" s="10">
        <f>IF(D29="",0,IFERROR(VLOOKUP(D29,Вводные_данные!$D$15:$G$21,4,FALSE),0))</f>
      </c>
      <c r="R29" s="10">
        <f>M29*Q29</f>
      </c>
      <c r="S29" s="13">
        <f>R29*Вводные_данные!$E$24</f>
      </c>
      <c r="T29" s="13">
        <f>K29+L29+P29+S29</f>
      </c>
      <c r="U29" s="16" t="s">
        <v>327</v>
      </c>
    </row>
    <row r="30" spans="1:21" x14ac:dyDescent="0.25">
      <c r="A30" s="10">
        <v>26</v>
      </c>
      <c r="B30" s="16" t="s">
        <v>328</v>
      </c>
      <c r="C30" s="16" t="s">
        <v>329</v>
      </c>
      <c r="D30" s="10" t="s">
        <v>152</v>
      </c>
      <c r="E30" s="10" t="s">
        <v>94</v>
      </c>
      <c r="F30" s="10" t="s">
        <v>330</v>
      </c>
      <c r="G30" s="10" t="s">
        <v>242</v>
      </c>
      <c r="H30" s="22">
        <v>4.5</v>
      </c>
      <c r="I30" s="10">
        <f>H30*Вводные_данные!$B$6</f>
      </c>
      <c r="J30" s="13">
        <f>IFERROR(VLOOKUP(E30,Вводные_данные!$A$15:$B$21,2,FALSE),0)</f>
      </c>
      <c r="K30" s="13">
        <f>I30*J30</f>
      </c>
      <c r="L30" s="13">
        <f>K30*Вводные_данные!$E$25</f>
      </c>
      <c r="M30" s="22">
        <v>0</v>
      </c>
      <c r="N30" s="10">
        <f>M30*Вводные_данные!$B$6</f>
      </c>
      <c r="O30" s="13">
        <f>IF(D30="",0,IFERROR(VLOOKUP(D30,Вводные_данные!$D$15:$E$21,2,FALSE),0))</f>
      </c>
      <c r="P30" s="13">
        <f>N30*O30</f>
      </c>
      <c r="Q30" s="10">
        <f>IF(D30="",0,IFERROR(VLOOKUP(D30,Вводные_данные!$D$15:$G$21,4,FALSE),0))</f>
      </c>
      <c r="R30" s="10">
        <f>M30*Q30</f>
      </c>
      <c r="S30" s="13">
        <f>R30*Вводные_данные!$E$24</f>
      </c>
      <c r="T30" s="13">
        <f>K30+L30+P30+S30</f>
      </c>
      <c r="U30" s="16" t="s">
        <v>331</v>
      </c>
    </row>
    <row r="31" spans="1:21" x14ac:dyDescent="0.25">
      <c r="A31" s="10">
        <v>27</v>
      </c>
      <c r="B31" s="16" t="s">
        <v>332</v>
      </c>
      <c r="C31" s="16" t="s">
        <v>333</v>
      </c>
      <c r="D31" s="10" t="s">
        <v>98</v>
      </c>
      <c r="E31" s="10" t="s">
        <v>94</v>
      </c>
      <c r="F31" s="10" t="s">
        <v>334</v>
      </c>
      <c r="G31" s="10" t="s">
        <v>237</v>
      </c>
      <c r="H31" s="22">
        <v>3</v>
      </c>
      <c r="I31" s="10">
        <f>H31*Вводные_данные!$B$6</f>
      </c>
      <c r="J31" s="13">
        <f>IFERROR(VLOOKUP(E31,Вводные_данные!$A$15:$B$21,2,FALSE),0)</f>
      </c>
      <c r="K31" s="13">
        <f>I31*J31</f>
      </c>
      <c r="L31" s="13">
        <f>K31*Вводные_данные!$E$25</f>
      </c>
      <c r="M31" s="22">
        <v>0.6</v>
      </c>
      <c r="N31" s="10">
        <f>M31*Вводные_данные!$B$6</f>
      </c>
      <c r="O31" s="13">
        <f>IF(D31="",0,IFERROR(VLOOKUP(D31,Вводные_данные!$D$15:$E$21,2,FALSE),0))</f>
      </c>
      <c r="P31" s="13">
        <f>N31*O31</f>
      </c>
      <c r="Q31" s="10">
        <f>IF(D31="",0,IFERROR(VLOOKUP(D31,Вводные_данные!$D$15:$G$21,4,FALSE),0))</f>
      </c>
      <c r="R31" s="10">
        <f>M31*Q31</f>
      </c>
      <c r="S31" s="13">
        <f>R31*Вводные_данные!$E$24</f>
      </c>
      <c r="T31" s="13">
        <f>K31+L31+P31+S31</f>
      </c>
      <c r="U31" s="16" t="s">
        <v>335</v>
      </c>
    </row>
    <row r="32" spans="1:21" x14ac:dyDescent="0.25">
      <c r="A32" s="10">
        <v>28</v>
      </c>
      <c r="B32" s="16" t="s">
        <v>336</v>
      </c>
      <c r="C32" s="16" t="s">
        <v>337</v>
      </c>
      <c r="D32" s="10" t="s">
        <v>98</v>
      </c>
      <c r="E32" s="10" t="s">
        <v>94</v>
      </c>
      <c r="F32" s="10" t="s">
        <v>338</v>
      </c>
      <c r="G32" s="10" t="s">
        <v>251</v>
      </c>
      <c r="H32" s="22">
        <v>1.8</v>
      </c>
      <c r="I32" s="10">
        <f>H32*Вводные_данные!$B$6</f>
      </c>
      <c r="J32" s="13">
        <f>IFERROR(VLOOKUP(E32,Вводные_данные!$A$15:$B$21,2,FALSE),0)</f>
      </c>
      <c r="K32" s="13">
        <f>I32*J32</f>
      </c>
      <c r="L32" s="13">
        <f>K32*Вводные_данные!$E$25</f>
      </c>
      <c r="M32" s="22">
        <v>0.6</v>
      </c>
      <c r="N32" s="10">
        <f>M32*Вводные_данные!$B$6</f>
      </c>
      <c r="O32" s="13">
        <f>IF(D32="",0,IFERROR(VLOOKUP(D32,Вводные_данные!$D$15:$E$21,2,FALSE),0))</f>
      </c>
      <c r="P32" s="13">
        <f>N32*O32</f>
      </c>
      <c r="Q32" s="10">
        <f>IF(D32="",0,IFERROR(VLOOKUP(D32,Вводные_данные!$D$15:$G$21,4,FALSE),0))</f>
      </c>
      <c r="R32" s="10">
        <f>M32*Q32</f>
      </c>
      <c r="S32" s="13">
        <f>R32*Вводные_данные!$E$24</f>
      </c>
      <c r="T32" s="13">
        <f>K32+L32+P32+S32</f>
      </c>
      <c r="U32" s="16" t="s">
        <v>339</v>
      </c>
    </row>
    <row r="34" spans="2:20" x14ac:dyDescent="0.25">
      <c r="B34" s="3" t="s">
        <v>340</v>
      </c>
      <c r="G34" t="s">
        <v>242</v>
      </c>
      <c r="H34" s="20">
        <f>SUM(H5:H32)</f>
      </c>
      <c r="I34" s="20">
        <f>SUM(I5:I32)</f>
      </c>
      <c r="J34" t="s">
        <v>242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341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342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120</v>
      </c>
      <c r="C4" s="23" t="s">
        <v>344</v>
      </c>
    </row>
    <row r="5" spans="1:3" x14ac:dyDescent="0.25">
      <c r="A5" s="10" t="s">
        <v>345</v>
      </c>
      <c r="B5" s="13">
        <f>Материалы!$F$16</f>
      </c>
      <c r="C5" s="10" t="s">
        <v>346</v>
      </c>
    </row>
    <row r="6" spans="1:3" x14ac:dyDescent="0.25">
      <c r="A6" s="10" t="s">
        <v>347</v>
      </c>
      <c r="B6" s="13">
        <f>Операции!$T$34</f>
      </c>
      <c r="C6" s="10" t="s">
        <v>348</v>
      </c>
    </row>
    <row r="7" spans="1:3" x14ac:dyDescent="0.25">
      <c r="A7" s="10" t="s">
        <v>349</v>
      </c>
      <c r="B7" s="13">
        <f>Операции!$K$34+Операции!$L$34</f>
      </c>
      <c r="C7" s="10" t="s">
        <v>350</v>
      </c>
    </row>
    <row r="8" spans="1:3" x14ac:dyDescent="0.25">
      <c r="A8" s="10" t="s">
        <v>351</v>
      </c>
      <c r="B8" s="13">
        <f>B7*Вводные_данные!$E$27</f>
      </c>
      <c r="C8" s="10" t="s">
        <v>352</v>
      </c>
    </row>
    <row r="9" spans="1:3" x14ac:dyDescent="0.25">
      <c r="A9" s="10" t="s">
        <v>353</v>
      </c>
      <c r="B9" s="13">
        <f>B5+B6+B8</f>
      </c>
      <c r="C9" s="10" t="s">
        <v>354</v>
      </c>
    </row>
    <row r="10" spans="1:3" x14ac:dyDescent="0.25">
      <c r="A10" s="10" t="s">
        <v>355</v>
      </c>
      <c r="B10" s="13">
        <f>B9*Вводные_данные!$E$29</f>
      </c>
      <c r="C10" s="10" t="s">
        <v>356</v>
      </c>
    </row>
    <row r="11" spans="1:3" x14ac:dyDescent="0.25">
      <c r="A11" s="10" t="s">
        <v>357</v>
      </c>
      <c r="B11" s="13">
        <f>B9+B10</f>
      </c>
      <c r="C11" s="10" t="s">
        <v>152</v>
      </c>
    </row>
    <row r="12" spans="1:3" x14ac:dyDescent="0.25">
      <c r="A12" s="10" t="s">
        <v>358</v>
      </c>
      <c r="B12" s="13">
        <f>B11*Вводные_данные!$E$28</f>
      </c>
      <c r="C12" s="10" t="s">
        <v>359</v>
      </c>
    </row>
    <row r="13" spans="1:3" x14ac:dyDescent="0.25">
      <c r="A13" s="24" t="s">
        <v>360</v>
      </c>
      <c r="B13" s="20">
        <f>B11+B12</f>
      </c>
      <c r="C13" s="10" t="s">
        <v>361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362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363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364</v>
      </c>
    </row>
    <row r="5" spans="1:3" x14ac:dyDescent="0.25">
      <c r="A5" s="10" t="s">
        <v>365</v>
      </c>
      <c r="B5" s="18">
        <v>940</v>
      </c>
      <c r="C5" s="10" t="s">
        <v>366</v>
      </c>
    </row>
    <row r="6" spans="1:3" x14ac:dyDescent="0.25">
      <c r="A6" s="10" t="s">
        <v>367</v>
      </c>
      <c r="B6" s="22">
        <v>1</v>
      </c>
      <c r="C6" s="10" t="s">
        <v>368</v>
      </c>
    </row>
    <row r="7" spans="1:3" x14ac:dyDescent="0.25">
      <c r="A7" s="10" t="s">
        <v>369</v>
      </c>
      <c r="B7" s="18">
        <v>120</v>
      </c>
      <c r="C7" s="10" t="s">
        <v>370</v>
      </c>
    </row>
    <row r="8" spans="1:3" x14ac:dyDescent="0.25">
      <c r="A8" s="10" t="s">
        <v>371</v>
      </c>
      <c r="B8" s="18">
        <v>25000</v>
      </c>
      <c r="C8" s="10" t="s">
        <v>372</v>
      </c>
    </row>
    <row r="9" spans="1:3" x14ac:dyDescent="0.25">
      <c r="A9" s="10" t="s">
        <v>373</v>
      </c>
      <c r="B9" s="18">
        <v>35000</v>
      </c>
      <c r="C9" s="10" t="s">
        <v>374</v>
      </c>
    </row>
    <row r="10" spans="1:3" x14ac:dyDescent="0.25">
      <c r="A10" s="10" t="s">
        <v>375</v>
      </c>
      <c r="B10" s="22">
        <v>0.005</v>
      </c>
      <c r="C10" s="10" t="s">
        <v>376</v>
      </c>
    </row>
    <row r="12" spans="1:3" x14ac:dyDescent="0.25">
      <c r="A12" s="10" t="s">
        <v>377</v>
      </c>
      <c r="B12" s="13">
        <f>B5*B7*B6</f>
      </c>
      <c r="C12" s="10" t="s">
        <v>378</v>
      </c>
    </row>
    <row r="13" spans="1:3" x14ac:dyDescent="0.25">
      <c r="A13" s="10" t="s">
        <v>379</v>
      </c>
      <c r="B13" s="13">
        <f>B8</f>
      </c>
      <c r="C13" s="10" t="s">
        <v>152</v>
      </c>
    </row>
    <row r="14" spans="1:3" x14ac:dyDescent="0.25">
      <c r="A14" s="10" t="s">
        <v>380</v>
      </c>
      <c r="B14" s="13">
        <f>B9</f>
      </c>
      <c r="C14" s="10" t="s">
        <v>152</v>
      </c>
    </row>
    <row r="15" spans="1:3" x14ac:dyDescent="0.25">
      <c r="A15" s="10" t="s">
        <v>381</v>
      </c>
      <c r="B15" s="13">
        <f>Накладные_и_прибыль!$B$13*B10</f>
      </c>
      <c r="C15" s="10" t="s">
        <v>382</v>
      </c>
    </row>
    <row r="16" spans="1:3" x14ac:dyDescent="0.25">
      <c r="A16" s="24" t="s">
        <v>383</v>
      </c>
      <c r="B16" s="20">
        <f>SUM(B12:B15)</f>
      </c>
      <c r="C16" s="10" t="s">
        <v>384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385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386</v>
      </c>
      <c r="C4" s="23" t="s">
        <v>121</v>
      </c>
    </row>
    <row r="5" spans="1:3" x14ac:dyDescent="0.25">
      <c r="A5" s="10" t="s">
        <v>387</v>
      </c>
      <c r="B5" s="13">
        <f>Накладные_и_прибыль!$B$5</f>
      </c>
      <c r="C5" s="10" t="s">
        <v>152</v>
      </c>
    </row>
    <row r="6" spans="1:3" x14ac:dyDescent="0.25">
      <c r="A6" s="10" t="s">
        <v>388</v>
      </c>
      <c r="B6" s="13">
        <f>Накладные_и_прибыль!$B$6</f>
      </c>
      <c r="C6" s="10" t="s">
        <v>152</v>
      </c>
    </row>
    <row r="7" spans="1:3" x14ac:dyDescent="0.25">
      <c r="A7" s="10" t="s">
        <v>389</v>
      </c>
      <c r="B7" s="13">
        <f>Накладные_и_прибыль!$B$7</f>
      </c>
      <c r="C7" s="10" t="s">
        <v>152</v>
      </c>
    </row>
    <row r="8" spans="1:3" x14ac:dyDescent="0.25">
      <c r="A8" s="10" t="s">
        <v>390</v>
      </c>
      <c r="B8" s="13">
        <f>Накладные_и_прибыль!$B$10</f>
      </c>
      <c r="C8" s="10" t="s">
        <v>152</v>
      </c>
    </row>
    <row r="9" spans="1:3" x14ac:dyDescent="0.25">
      <c r="A9" s="10" t="s">
        <v>391</v>
      </c>
      <c r="B9" s="13">
        <f>Накладные_и_прибыль!$B$12</f>
      </c>
      <c r="C9" s="10" t="s">
        <v>152</v>
      </c>
    </row>
    <row r="10" spans="1:3" x14ac:dyDescent="0.25">
      <c r="A10" s="24" t="s">
        <v>392</v>
      </c>
      <c r="B10" s="20">
        <f>Накладные_и_прибыль!$B$13</f>
      </c>
      <c r="C10" s="10" t="s">
        <v>152</v>
      </c>
    </row>
    <row r="11" spans="1:3" x14ac:dyDescent="0.25">
      <c r="A11" s="10" t="s">
        <v>393</v>
      </c>
      <c r="B11" s="13">
        <f>Транспорт!$B$16</f>
      </c>
      <c r="C11" s="10" t="s">
        <v>152</v>
      </c>
    </row>
    <row r="12" spans="1:3" x14ac:dyDescent="0.25">
      <c r="A12" s="24" t="s">
        <v>394</v>
      </c>
      <c r="B12" s="20">
        <f>B10+B11</f>
      </c>
      <c r="C12" s="10" t="s">
        <v>152</v>
      </c>
    </row>
    <row r="13" spans="1:3" x14ac:dyDescent="0.25">
      <c r="A13" s="10" t="s">
        <v>395</v>
      </c>
      <c r="B13" s="13">
        <f>B12*Вводные_данные!$E$26</f>
      </c>
      <c r="C13" s="10" t="s">
        <v>152</v>
      </c>
    </row>
    <row r="14" spans="1:3" x14ac:dyDescent="0.25">
      <c r="A14" s="25" t="s">
        <v>396</v>
      </c>
      <c r="B14" s="26">
        <f>B12+B13</f>
      </c>
      <c r="C14" s="10" t="s">
        <v>152</v>
      </c>
    </row>
    <row r="15" spans="1:3" x14ac:dyDescent="0.25">
      <c r="A15" s="10" t="s">
        <v>397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398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399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399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400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400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401</v>
      </c>
    </row>
    <row r="3" spans="1:4" x14ac:dyDescent="0.25">
      <c r="A3" s="3" t="s">
        <v>104</v>
      </c>
      <c r="B3" s="3" t="s">
        <v>107</v>
      </c>
      <c r="C3" s="3" t="s">
        <v>402</v>
      </c>
      <c r="D3" s="3" t="s">
        <v>403</v>
      </c>
    </row>
    <row r="4" spans="1:4" x14ac:dyDescent="0.25">
      <c r="A4" t="s">
        <v>105</v>
      </c>
      <c r="B4" t="s">
        <v>108</v>
      </c>
      <c r="C4" t="s">
        <v>404</v>
      </c>
      <c r="D4" t="s">
        <v>405</v>
      </c>
    </row>
    <row r="5" spans="1:4" x14ac:dyDescent="0.25">
      <c r="A5" t="s">
        <v>406</v>
      </c>
      <c r="B5" t="s">
        <v>407</v>
      </c>
      <c r="C5" t="s">
        <v>408</v>
      </c>
      <c r="D5" t="s">
        <v>409</v>
      </c>
    </row>
    <row r="6" spans="1:4" x14ac:dyDescent="0.25">
      <c r="A6" t="s">
        <v>410</v>
      </c>
      <c r="B6" t="s">
        <v>411</v>
      </c>
      <c r="C6" t="s">
        <v>412</v>
      </c>
      <c r="D6" t="s">
        <v>413</v>
      </c>
    </row>
    <row r="7" spans="1:4" x14ac:dyDescent="0.25">
      <c r="A7" t="s">
        <v>414</v>
      </c>
      <c r="C7" t="s">
        <v>415</v>
      </c>
      <c r="D7" t="s">
        <v>416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2026-04-06T15:37:30Z</dcterms:created>
  <dcterms:modified xsi:type="dcterms:W3CDTF">2026-04-06T15:37:30Z</dcterms:modified>
</cp:coreProperties>
</file>
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<sst xmlns="http://schemas.openxmlformats.org/spreadsheetml/2006/main" count="529" uniqueCount="391">
  <si>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</si>
  <si>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</si>
  <si>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</si>
  <si>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объемное, радиусное  из полнотелого натурального камня с толщиной t=170, с радиусом R=70, с калибровкой и полировкой торцевых частей изделия: сложной конфигурации, с ручной дора,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известняк месторождения "Fatima"; обработка поверхности — лощение; размеры 1700×170×135мм (возможная подрезка изделия по месту под фактическую установку)</t>
  </si>
  <si>
    <t>Материал:</t>
  </si>
  <si>
    <t xml:space="preserve">Известняк месторождения "Fatima" </t>
  </si>
  <si>
    <t>Размеры, мм:</t>
  </si>
  <si>
    <t>1700 × 170 × 135</t>
  </si>
  <si>
    <t>Количество:</t>
  </si>
  <si>
    <t>75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</si>
  <si>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</si>
  <si>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</si>
  <si>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</si>
  <si>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</si>
  <si>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</si>
  <si>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</si>
  <si>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</si>
  <si>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</si>
  <si>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</si>
  <si>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</si>
  <si>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</si>
  <si>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</si>
  <si>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</si>
  <si>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</si>
  <si>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</si>
  <si>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</si>
  <si>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</si>
  <si>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</si>
  <si>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</si>
  <si>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</si>
  <si>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</si>
  <si>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</si>
  <si>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</si>
  <si>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</si>
  <si>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</si>
  <si>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</si>
  <si>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</si>
  <si>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</si>
  <si>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</si>
  <si>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</si>
  <si>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</si>
  <si>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</si>
  <si>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</si>
  <si>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</si>
  <si>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</si>
  <si>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</si>
  <si>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</si>
  <si>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</si>
  <si>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</si>
  <si>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</si>
  <si>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</si>
  <si>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</si>
  <si>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</si>
  <si>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</si>
  <si>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</si>
  <si>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</si>
  <si>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</si>
  <si>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</si>
  <si>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</si>
  <si>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</si>
  <si>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</si>
  <si>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</si>
  <si>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</si>
  <si>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</si>
  <si>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</si>
  <si>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</si>
  <si>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</si>
  <si>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</si>
  <si>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</si>
  <si>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</si>
  <si>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</si>
  <si>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</si>
  <si>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</si>
  <si>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</si>
  <si>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</si>
  <si>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</si>
  <si>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</si>
  <si>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</si>
  <si>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</si>
  <si>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</si>
  <si>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</si>
  <si>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</si>
  <si>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</si>
  <si>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</si>
  <si>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</si>
  <si>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</si>
  <si>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</si>
  <si>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</si>
  <si>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</si>
  <si>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</si>
  <si>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</si>
  <si>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</si>
  <si>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</si>
  <si>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</si>
  <si>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</si>
  <si>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</si>
  <si>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</si>
  <si>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</si>
  <si>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</si>
  <si>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</si>
  <si>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</si>
  <si>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1700×170×135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</si>
  <si>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</si>
  <si>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</si>
  <si>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</si>
  <si>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</si>
  <si>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</si>
  <si>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</si>
  <si>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</si>
  <si>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</si>
  <si>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</si>
  <si>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</si>
  <si>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</si>
  <si>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</si>
  <si>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</si>
  <si>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</si>
  <si>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</si>
  <si>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</si>
  <si>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</si>
  <si>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</si>
  <si>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</si>
  <si>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</si>
  <si>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</si>
  <si>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</si>
  <si>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</si>
  <si>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</si>
  <si>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</si>
  <si>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</si>
  <si>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</si>
  <si>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</si>
  <si>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</si>
  <si>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</si>
  <si>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</si>
  <si>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</si>
  <si>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</si>
  <si>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</si>
  <si>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</si>
  <si>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</si>
  <si>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</si>
  <si>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</si>
  <si>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</si>
  <si>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</si>
  <si>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</si>
  <si>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</si>
  <si>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</si>
  <si>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</si>
  <si>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</si>
  <si>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</si>
  <si>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</si>
  <si>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</si>
  <si>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</si>
  <si>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</si>
  <si>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</si>
  <si>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</si>
  <si>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</si>
  <si>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"Fatima"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</si>
  <si>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</si>
  <si>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</si>
  <si>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</si>
  <si>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</si>
  <si>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</si>
  <si>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</si>
  <si>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</si>
  <si>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</si>
  <si>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</si>
  <si>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</si>
  <si>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</si>
  <si>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</si>
  <si>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</si>
  <si>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</si>
  <si>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</si>
  <si>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</si>
  <si>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</si>
  <si>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</si>
  <si>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</si>
  <si>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</si>
  <si>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</si>
  <si>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75 компл на 75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</si>
  <si>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</si>
  <si>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</si>
  <si>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</si>
  <si>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</si>
  <si>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</si>
  <si>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</si>
  <si>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</si>
  <si>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</si>
  <si>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</si>
  <si>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</si>
  <si>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</si>
  <si>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</si>
  <si>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</si>
  <si>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</si>
  <si>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</si>
  <si>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</si>
  <si>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</si>
  <si>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</si>
  <si>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</si>
  <si>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</si>
  <si>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</si>
  <si>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</si>
  <si>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</si>
  <si>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</si>
  <si>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</si>
  <si>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</si>
  <si>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</si>
  <si>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</si>
  <si>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</si>
  <si>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</si>
  <si>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</si>
  <si>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</si>
  <si>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</si>
  <si>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</si>
  <si>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</si>
  <si>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</si>
  <si>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</si>
  <si>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</si>
  <si>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</si>
  <si>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</si>
  <si>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</si>
  <si>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</si>
  <si>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</si>
  <si>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</si>
  <si>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</si>
  <si>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</si>
  <si>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</si>
  <si>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</si>
  <si>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</si>
  <si>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</si>
  <si>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</si>
  <si>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</si>
  <si>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</si>
  <si>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</si>
  <si>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</si>
  <si>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</si>
  <si>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</si>
  <si>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</si>
  <si>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</si>
  <si>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</si>
  <si>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</si>
  <si>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</si>
  <si>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</si>
  <si>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</si>
  <si>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</si>
  <si>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</si>
  <si>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</si>
  <si>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</si>
  <si>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</si>
  <si>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</si>
  <si>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</si>
  <si>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</si>
  <si>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</si>
  <si>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</si>
  <si>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</si>
  <si>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</si>
  <si>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</si>
  <si>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</si>
  <si>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</si>
  <si>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</si>
  <si>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</si>
  <si>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</si>
  <si>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</si>
  <si>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</si>
  <si>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</si>
  <si>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</si>
  <si>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</si>
  <si>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</si>
  <si>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</si>
  <si>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</si>
  <si>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</si>
  <si>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</si>
  <si>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</si>
  <si>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</si>
  <si>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</si>
  <si>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</si>
  <si>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</si>
  <si>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</si>
  <si>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</si>
  <si>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</si>
  <si>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</si>
  <si>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</si>
  <si>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</si>
  <si>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</si>
  <si>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</si>
  <si>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</si>
  <si>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</si>
  <si>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</si>
  <si>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</si>
  <si>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</si>
  <si>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</si>
  <si>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</si>
  <si>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</si>
  <si>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</si>
  <si>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</si>
  <si>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</si>
  <si>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</si>
  <si>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</si>
  <si>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</si>
  <si>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</si>
  <si>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</si>
  <si>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</si>
  <si>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</si>
  <si>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</si>
  <si>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</si>
  <si>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</si>
  <si>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</si>
  <si>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</si>
  <si>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</si>
  <si>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</si>
  <si>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</si>
  <si>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</si>
  <si>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</si>
  <si>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</si>
  <si>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</si>
  <si>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</si>
  <si>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</si>
  <si>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</si>
  <si>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</si>
  <si>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</si>
  <si>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</si>
  <si>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</si>
  <si>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</si>
  <si>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</si>
  <si>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</si>
  <si>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</si>
  <si>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</si>
  <si>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</si>
  <si>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</si>
  <si>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</si>
  <si>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</si>
  <si>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</si>
  <si>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</si>
  <si>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</si>
  <si>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</si>
  <si>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</si>
  <si>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</si>
  <si>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</si>
  <si>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</si>
  <si>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</si>
  <si>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</si>
  <si>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</si>
  <si>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</si>
  <si>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</si>
  <si>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</si>
  <si>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</si>
  <si>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</si>
  <si>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</si>
  <si>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</si>
  <si>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</si>
  <si>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</si>
  <si>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</si>
  <si>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</si>
  <si>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</si>
  <si>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</si>
  <si>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</si>
  <si>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</si>
  <si>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75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</si>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</sst>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2400</v>
      </c>
    </row>
    <row r="6" spans="1:5" x14ac:dyDescent="0.25">
      <c r="A6" t="s">
        <v>42</v>
      </c>
      <c r="B6" s="5">
        <v>75</v>
      </c>
      <c r="D6" t="s">
        <v>43</v>
      </c>
      <c r="E6" s="5">
        <v>1.2</v>
      </c>
    </row>
    <row r="7" spans="1:5" x14ac:dyDescent="0.25">
      <c r="A7" t="s">
        <v>44</v>
      </c>
      <c r="B7" s="5">
        <v>1700</v>
      </c>
      <c r="D7" t="s">
        <v>45</v>
      </c>
      <c r="E7" s="5">
        <v>2</v>
      </c>
    </row>
    <row r="8" spans="1:5" x14ac:dyDescent="0.25">
      <c r="A8" t="s">
        <v>46</v>
      </c>
      <c r="B8" s="5">
        <v>170</v>
      </c>
      <c r="D8" t="s">
        <v>47</v>
      </c>
      <c r="E8" s="5">
        <v>1.05</v>
      </c>
    </row>
    <row r="9" spans="1:5" x14ac:dyDescent="0.25">
      <c r="A9" t="s">
        <v>48</v>
      </c>
      <c r="B9" s="5">
        <v>135</v>
      </c>
      <c r="D9" t="s">
        <v>49</v>
      </c>
      <c r="E9" s="5">
        <v>756600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0.28900000000000003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1.7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1.7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0.17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0.135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0.03901500000000001</v>
      </c>
      <c r="C8" s="10" t="s">
        <v>114</v>
      </c>
      <c r="E8" s="10" t="s">
        <v>115</v>
      </c>
      <c r="F8" s="12">
        <v>7.3738350000000015</v>
      </c>
    </row>
    <row r="9" spans="1:6" x14ac:dyDescent="0.25">
      <c r="A9" s="10" t="s">
        <v>116</v>
      </c>
      <c r="B9" s="12">
        <v>0.28900000000000003</v>
      </c>
      <c r="C9" s="10" t="s">
        <v>117</v>
      </c>
      <c r="E9" s="10" t="s">
        <v>118</v>
      </c>
      <c r="F9" s="12">
        <v>0.09831780000000002</v>
      </c>
    </row>
    <row r="10" spans="1:6" x14ac:dyDescent="0.25">
      <c r="A10" s="10" t="s">
        <v>119</v>
      </c>
      <c r="B10" s="12">
        <v>0.28900000000000003</v>
      </c>
      <c r="C10" s="10" t="s">
        <v>117</v>
      </c>
      <c r="E10" s="10" t="s">
        <v>120</v>
      </c>
      <c r="F10" s="13">
        <v>5579043.561000001</v>
      </c>
    </row>
    <row r="11" spans="1:6" x14ac:dyDescent="0.25">
      <c r="A11" s="10" t="s">
        <v>121</v>
      </c>
      <c r="B11" s="12">
        <v>0.2295</v>
      </c>
      <c r="C11" s="10" t="s">
        <v>122</v>
      </c>
      <c r="E11" s="10" t="s">
        <v>123</v>
      </c>
      <c r="F11" s="13">
        <v>74387.24748</v>
      </c>
    </row>
    <row r="12" spans="1:3" x14ac:dyDescent="0.25">
      <c r="A12" s="10" t="s">
        <v>124</v>
      </c>
      <c r="B12" s="12">
        <v>0.2295</v>
      </c>
      <c r="C12" s="10" t="s">
        <v>122</v>
      </c>
    </row>
    <row r="13" spans="1:3" x14ac:dyDescent="0.25">
      <c r="A13" s="10" t="s">
        <v>125</v>
      </c>
      <c r="B13" s="12">
        <v>0.0459</v>
      </c>
      <c r="C13" s="10" t="s">
        <v>126</v>
      </c>
    </row>
    <row r="14" spans="1:3" x14ac:dyDescent="0.25">
      <c r="A14" s="10" t="s">
        <v>127</v>
      </c>
      <c r="B14" s="11">
        <v>1.0829000000000002</v>
      </c>
      <c r="C14" s="10" t="s">
        <v>128</v>
      </c>
    </row>
    <row r="15" spans="1:3" x14ac:dyDescent="0.25">
      <c r="A15" s="10" t="s">
        <v>129</v>
      </c>
      <c r="B15" s="11">
        <v>2.04</v>
      </c>
      <c r="C15" s="10" t="s">
        <v>130</v>
      </c>
    </row>
    <row r="16" spans="1:3" x14ac:dyDescent="0.25">
      <c r="A16" s="10" t="s">
        <v>131</v>
      </c>
      <c r="B16" s="11">
        <v>8.02</v>
      </c>
      <c r="C16" s="10" t="s">
        <v>132</v>
      </c>
    </row>
    <row r="17" spans="1:3" x14ac:dyDescent="0.25">
      <c r="A17" s="10" t="s">
        <v>133</v>
      </c>
      <c r="B17" s="11">
        <v>93.63600000000002</v>
      </c>
      <c r="C17" s="10" t="s">
        <v>134</v>
      </c>
    </row>
    <row r="18" spans="1:3" x14ac:dyDescent="0.25">
      <c r="A18" s="10" t="s">
        <v>42</v>
      </c>
      <c r="B18" s="11">
        <v>75</v>
      </c>
      <c r="C18" s="10" t="s">
        <v>31</v>
      </c>
    </row>
    <row r="19" spans="1:3" x14ac:dyDescent="0.25">
      <c r="A19" s="10" t="s">
        <v>135</v>
      </c>
      <c r="B19" s="11">
        <v>2.9261250000000008</v>
      </c>
      <c r="C19" s="10" t="s">
        <v>136</v>
      </c>
    </row>
    <row r="20" spans="1:3" x14ac:dyDescent="0.25">
      <c r="A20" s="10" t="s">
        <v>137</v>
      </c>
      <c r="B20" s="11">
        <v>7022.700000000002</v>
      </c>
      <c r="C20" s="10" t="s">
        <v>138</v>
      </c>
    </row>
    <row r="22" spans="1:3" x14ac:dyDescent="0.25">
      <c r="A22" t="s">
        <v>139</v>
      </c>
      <c r="B22" s="14">
        <v>0.28900000000000003</v>
      </c>
      <c r="C22" t="s">
        <v>140</v>
      </c>
    </row>
    <row r="23" spans="1:3" x14ac:dyDescent="0.25">
      <c r="A23" t="s">
        <v>141</v>
      </c>
      <c r="B23" s="14">
        <v>1.7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7.3738350000000015</v>
      </c>
      <c r="E5" s="18">
        <v>756600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75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75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75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75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75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75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112.5</v>
      </c>
      <c r="J5" s="13">
        <v>243.9</v>
      </c>
      <c r="K5" s="13">
        <f>I5*J5</f>
      </c>
      <c r="L5" s="13">
        <f>K5*0.302</f>
      </c>
      <c r="M5" s="22">
        <v>0.3</v>
      </c>
      <c r="N5" s="10">
        <v>22.5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187.5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135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90</v>
      </c>
      <c r="J8" s="13">
        <v>152.44</v>
      </c>
      <c r="K8" s="13">
        <f>I8*J8</f>
      </c>
      <c r="L8" s="13">
        <f>K8*0.302</f>
      </c>
      <c r="M8" s="22">
        <v>0.5</v>
      </c>
      <c r="N8" s="10">
        <v>37.5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240</v>
      </c>
      <c r="J9" s="13">
        <v>176.83</v>
      </c>
      <c r="K9" s="13">
        <f>I9*J9</f>
      </c>
      <c r="L9" s="13">
        <f>K9*0.302</f>
      </c>
      <c r="M9" s="22">
        <v>2</v>
      </c>
      <c r="N9" s="10">
        <v>150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75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210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120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300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180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90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120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45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255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150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75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30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240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105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300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225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75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300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187.5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187.5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75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150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75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337.5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225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45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135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45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7742043.561000001</v>
      </c>
      <c r="C5" s="10" t="s">
        <v>315</v>
      </c>
    </row>
    <row r="6" spans="1:3" x14ac:dyDescent="0.25">
      <c r="A6" s="10" t="s">
        <v>316</v>
      </c>
      <c r="B6" s="13">
        <v>8236513.558950001</v>
      </c>
      <c r="C6" s="10" t="s">
        <v>317</v>
      </c>
    </row>
    <row r="7" spans="1:3" x14ac:dyDescent="0.25">
      <c r="A7" s="10" t="s">
        <v>318</v>
      </c>
      <c r="B7" s="13">
        <v>1025563.5589500001</v>
      </c>
      <c r="C7" s="10" t="s">
        <v>319</v>
      </c>
    </row>
    <row r="8" spans="1:3" x14ac:dyDescent="0.25">
      <c r="A8" s="10" t="s">
        <v>320</v>
      </c>
      <c r="B8" s="13">
        <v>1774224.9569835002</v>
      </c>
      <c r="C8" s="10" t="s">
        <v>321</v>
      </c>
    </row>
    <row r="9" spans="1:3" x14ac:dyDescent="0.25">
      <c r="A9" s="10" t="s">
        <v>322</v>
      </c>
      <c r="B9" s="13">
        <v>17752782.076933503</v>
      </c>
      <c r="C9" s="10" t="s">
        <v>323</v>
      </c>
    </row>
    <row r="10" spans="1:3" x14ac:dyDescent="0.25">
      <c r="A10" s="10" t="s">
        <v>324</v>
      </c>
      <c r="B10" s="13">
        <v>1420222.5661546802</v>
      </c>
      <c r="C10" s="10" t="s">
        <v>325</v>
      </c>
    </row>
    <row r="11" spans="1:3" x14ac:dyDescent="0.25">
      <c r="A11" s="10" t="s">
        <v>326</v>
      </c>
      <c r="B11" s="13">
        <v>19173004.643088184</v>
      </c>
      <c r="C11" s="10" t="s">
        <v>31</v>
      </c>
    </row>
    <row r="12" spans="1:3" x14ac:dyDescent="0.25">
      <c r="A12" s="10" t="s">
        <v>327</v>
      </c>
      <c r="B12" s="13">
        <v>6518821.578649983</v>
      </c>
      <c r="C12" s="10" t="s">
        <v>328</v>
      </c>
    </row>
    <row r="13" spans="1:3" x14ac:dyDescent="0.25">
      <c r="A13" s="24" t="s">
        <v>329</v>
      </c>
      <c r="B13" s="20">
        <v>25691826.221738167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128459.13110869084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7742043.561000001</v>
      </c>
      <c r="C5" s="10" t="s">
        <v>31</v>
      </c>
    </row>
    <row r="6" spans="1:3" x14ac:dyDescent="0.25">
      <c r="A6" s="10" t="s">
        <v>358</v>
      </c>
      <c r="B6" s="13">
        <v>8236513.558950001</v>
      </c>
      <c r="C6" s="10" t="s">
        <v>31</v>
      </c>
    </row>
    <row r="7" spans="1:3" x14ac:dyDescent="0.25">
      <c r="A7" s="10" t="s">
        <v>359</v>
      </c>
      <c r="B7" s="13">
        <v>1774224.9569835002</v>
      </c>
      <c r="C7" s="10" t="s">
        <v>31</v>
      </c>
    </row>
    <row r="8" spans="1:3" x14ac:dyDescent="0.25">
      <c r="A8" s="10" t="s">
        <v>360</v>
      </c>
      <c r="B8" s="13">
        <v>1420222.5661546802</v>
      </c>
      <c r="C8" s="10" t="s">
        <v>31</v>
      </c>
    </row>
    <row r="9" spans="1:3" x14ac:dyDescent="0.25">
      <c r="A9" s="10" t="s">
        <v>361</v>
      </c>
      <c r="B9" s="13">
        <v>6518821.578649983</v>
      </c>
      <c r="C9" s="10" t="s">
        <v>31</v>
      </c>
    </row>
    <row r="10" spans="1:3" x14ac:dyDescent="0.25">
      <c r="A10" s="10" t="s">
        <v>362</v>
      </c>
      <c r="B10" s="13">
        <v>25691826.221738167</v>
      </c>
      <c r="C10" s="10" t="s">
        <v>31</v>
      </c>
    </row>
    <row r="11" spans="1:3" x14ac:dyDescent="0.25">
      <c r="A11" s="10" t="s">
        <v>363</v>
      </c>
      <c r="B11" s="13">
        <v>301259.13110869087</v>
      </c>
      <c r="C11" s="10" t="s">
        <v>31</v>
      </c>
    </row>
    <row r="12" spans="1:3" x14ac:dyDescent="0.25">
      <c r="A12" s="10" t="s">
        <v>364</v>
      </c>
      <c r="B12" s="13">
        <v>25993085.352846857</v>
      </c>
      <c r="C12" s="10" t="s">
        <v>31</v>
      </c>
    </row>
    <row r="13" spans="1:3" x14ac:dyDescent="0.25">
      <c r="A13" s="24" t="s">
        <v>365</v>
      </c>
      <c r="B13" s="20">
        <v>5198617.070569372</v>
      </c>
      <c r="C13" s="10" t="s">
        <v>31</v>
      </c>
    </row>
    <row r="14" spans="1:3" x14ac:dyDescent="0.25">
      <c r="A14" s="25" t="s">
        <v>366</v>
      </c>
      <c r="B14" s="26">
        <v>31191702.423416227</v>
      </c>
      <c r="C14" s="10" t="s">
        <v>31</v>
      </c>
    </row>
    <row r="15" spans="1:3" x14ac:dyDescent="0.25">
      <c r="A15" s="10" t="s">
        <v>367</v>
      </c>
      <c r="B15" s="13">
        <v>346574.47137129144</v>
      </c>
      <c r="C15" s="10" t="s">
        <v>31</v>
      </c>
    </row>
    <row r="16" spans="1:3" x14ac:dyDescent="0.25">
      <c r="A16" s="10" t="s">
        <v>368</v>
      </c>
      <c r="B16" s="13">
        <v>415889.36564554967</v>
      </c>
      <c r="C16" s="10" t="s">
        <v>31</v>
      </c>
    </row>
    <row r="17" spans="1:3" x14ac:dyDescent="0.25">
      <c r="A17" s="24" t="s">
        <v>369</v>
      </c>
      <c r="B17" s="20">
        <v>1199219.6241221156</v>
      </c>
      <c r="C17" s="10" t="s">
        <v>370</v>
      </c>
    </row>
    <row r="18" spans="1:3" x14ac:dyDescent="0.25">
      <c r="A18" s="24" t="s">
        <v>371</v>
      </c>
      <c r="B18" s="20">
        <v>1439063.5489465385</v>
      </c>
      <c r="C18" s="10" t="s">
        <v>370</v>
      </c>
    </row>
    <row r="19" spans="1:3" x14ac:dyDescent="0.25">
      <c r="A19" s="10" t="s">
        <v>372</v>
      </c>
      <c r="B19" s="13">
        <v>203867.33610075965</v>
      </c>
      <c r="C19" s="10" t="s">
        <v>373</v>
      </c>
    </row>
    <row r="20" spans="1:3" x14ac:dyDescent="0.25">
      <c r="A20" s="10" t="s">
        <v>374</v>
      </c>
      <c r="B20" s="13">
        <v>244640.8033209116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2026-04-05T13:19:46Z</dcterms:created>
  <dcterms:modified xsi:type="dcterms:W3CDTF">2026-04-05T13:19:46Z</dcterms:modified>
</cp:coreProperties>
</file>
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<sst xmlns="http://schemas.openxmlformats.org/spreadsheetml/2006/main" count="557" uniqueCount="404">
  <si>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</si>
  <si>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</si>
  <si>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</si>
  <si>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 - Изделие индивидуальное, сегментное, архитектурное 1-й категории, с подбором по оттенку и зернистости с минимальным содержанием жил и микротрещин, элемент высокоточного индивидуального изготовления из , цельная, сложной конфигурации, с закругленным кантом (капельником) R 25 с механизированной обработкой кромок (калибровка) и с ручной доработкой поверхностей; материал — гранит месторождения "Жалгыз"; обработка поверхности — бучардирование_лощение; размеры 2500×390×150мм (возможная подрезка изделия по месту под фактическую установку)</t>
  </si>
  <si>
    <t>Материал:</t>
  </si>
  <si>
    <t xml:space="preserve">Гранит месторождения "Жалгыз" </t>
  </si>
  <si>
    <t>Размеры, мм:</t>
  </si>
  <si>
    <t>2500 × 390 × 150</t>
  </si>
  <si>
    <t>Количество:</t>
  </si>
  <si>
    <t>24 шт.</t>
  </si>
  <si>
    <t xml:space="preserve">Фактура поверхности </t>
  </si>
  <si>
    <t>Бучардирование + лощение (по проекту/зонам отделки)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</si>
  <si>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</si>
  <si>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</si>
  <si>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</si>
  <si>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</si>
  <si>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</si>
  <si>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</si>
  <si>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</si>
  <si>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05.04.2026</t>
  </si>
  <si>
    <t>ИНСТРУКЦИЯ ПО РАБОТЕ С РКМ (СЕРИЯ)</t>
  </si>
  <si>
    <t>1. Все значения в желтых ячейках — редактируемые параметры.</t>
  </si>
  <si>
    <t>2. Формулы пересчитываются автоматически при изменении вводных данных.</t>
  </si>
  <si>
    <t>3. Лист «Вводные_данные» содержит все ставки, коэффициенты и параметры изделия.</t>
  </si>
  <si>
    <t>4. Лист «Геометрия» рассчитывает объемы, площади и потребность в сырье.</t>
  </si>
  <si>
    <t>5. Лист «Материалы» (Раздел 1) — стоимость сырья, инструмента и расходников.</t>
  </si>
  <si>
    <t>6. Лист «Операции» (Раздел 3) — трудозатраты и машинное время по операциям.</t>
  </si>
  <si>
    <t>7. Лист «Транспорт» (Раздел 2) — логистика.</t>
  </si>
  <si>
    <t>8. Лист «Накладные_и_прибыль» — расчет накладных, резерва и прибыли.</t>
  </si>
  <si>
    <t>9. Лист «ИТОГО» — сводная таблица с итоговой стоимостью.</t>
  </si>
  <si>
    <t>10. Для серии изделий: заполните количество на листе Вводные_данные, пересчет автоматический.</t>
  </si>
  <si>
    <t/>
  </si>
  <si>
    <t>ВАЖНО: Не удаляйте строки с формулами! При необходимости скройте их.</t>
  </si>
  <si>
    <t>Коэффициент отбора/брака (k_reject) зависит от длины и сложности изделия.</t>
  </si>
  <si>
    <t>Страховые взносы начисляются на ФОТ (30.2%).</t>
  </si>
  <si>
    <t>Накладные расходы начисляются на базу (ФОТ+страх.взносы).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</si>
  <si>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</si>
  <si>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</si>
  <si>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</si>
  <si>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</si>
  <si>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</si>
  <si>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</si>
  <si>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</si>
  <si>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</si>
  <si>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</si>
  <si>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</si>
  <si>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</si>
  <si>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</si>
  <si>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</si>
  <si>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</si>
  <si>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</si>
  <si>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</si>
  <si>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>Фактура/отделка (текст для титула)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</si>
  <si>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</si>
  <si>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</si>
  <si>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</si>
  <si>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</si>
  <si>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</si>
  <si>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</si>
  <si>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</si>
  <si>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</si>
  <si>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</si>
  <si>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</si>
  <si>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</si>
  <si>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</si>
  <si>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</si>
  <si>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</si>
  <si>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</si>
  <si>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</si>
  <si>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</si>
  <si>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</si>
  <si>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</si>
  <si>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</si>
  <si>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</si>
  <si>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</si>
  <si>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</si>
  <si>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</si>
  <si>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</si>
  <si>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</si>
  <si>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</si>
  <si>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</si>
  <si>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</si>
  <si>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</si>
  <si>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</si>
  <si>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шт, м²</t>
  </si>
  <si>
    <t>По умолчанию: =Геометрия!B9.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</si>
  <si>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</si>
  <si>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</si>
  <si>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</si>
  <si>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</si>
  <si>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</si>
  <si>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шт, м</t>
  </si>
  <si>
    <t>По умолчанию: =Геометрия!B16.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</si>
  <si>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</si>
  <si>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</si>
  <si>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</si>
  <si>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</si>
  <si>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</si>
  <si>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</si>
  <si>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</si>
  <si>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</si>
  <si>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Расчет выполнен по габаритам изделия 2500×390×150 мм; длина допускает подрезку по месту (учтено коэффициентом k_reserve).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</si>
  <si>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</si>
  <si>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</si>
  <si>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</si>
  <si>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</si>
  <si>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</si>
  <si>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</si>
  <si>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</si>
  <si>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</si>
  <si>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</si>
  <si>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</si>
  <si>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</si>
  <si>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</si>
  <si>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</si>
  <si>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</si>
  <si>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</si>
  <si>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</si>
  <si>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</si>
  <si>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</si>
  <si>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</si>
  <si>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</si>
  <si>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</si>
  <si>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</si>
  <si>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</si>
  <si>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</si>
  <si>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</si>
  <si>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</si>
  <si>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</si>
  <si>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</si>
  <si>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</si>
  <si>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</si>
  <si>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</si>
  <si>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</si>
  <si>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</si>
  <si>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</si>
  <si>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</si>
  <si>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</si>
  <si>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</si>
  <si>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</si>
  <si>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заменить.</t>
  </si>
  <si>
    <t>Длина для удельной стоимости, м.п. (на 1 шт)</t>
  </si>
  <si>
    <t>по умолчанию: длина L (B5). Можно заменить.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</si>
  <si>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</si>
  <si>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</si>
  <si>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</si>
  <si>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</si>
  <si>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</si>
  <si>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</si>
  <si>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</si>
  <si>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</si>
  <si>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</si>
  <si>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</si>
  <si>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</si>
  <si>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</si>
  <si>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"Жалгыз"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</si>
  <si>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</si>
  <si>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</si>
  <si>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</si>
  <si>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</si>
  <si>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</si>
  <si>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</si>
  <si>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</si>
  <si>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</si>
  <si>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</si>
  <si>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</si>
  <si>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</si>
  <si>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</si>
  <si>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</si>
  <si>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</si>
  <si>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</si>
  <si>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</si>
  <si>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норма на м2</t>
  </si>
  <si>
    <t>≈2 шт/м² бучардирования (арх. 1 кат.)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</si>
  <si>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</si>
  <si>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</si>
  <si>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изделие</t>
  </si>
  <si>
    <t>24 компл на 24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</si>
  <si>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</si>
  <si>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</si>
  <si>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</si>
  <si>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изделие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</si>
  <si>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</si>
  <si>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</si>
  <si>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</si>
  <si>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</si>
  <si>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</si>
  <si>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</si>
  <si>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</si>
  <si>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</si>
  <si>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</si>
  <si>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</si>
  <si>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</si>
  <si>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</si>
  <si>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</si>
  <si>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</si>
  <si>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</si>
  <si>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</si>
  <si>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</si>
  <si>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</si>
  <si>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</si>
  <si>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</si>
  <si>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</si>
  <si>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</si>
  <si>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</t>
  </si>
  <si>
    <t>Чел-час/партия</t>
  </si>
  <si>
    <t>ФОТ, руб</t>
  </si>
  <si>
    <t>Страх.взносы, руб</t>
  </si>
  <si>
    <t>Маш-ч/шт</t>
  </si>
  <si>
    <t>Маш-ч/партия</t>
  </si>
  <si>
    <t>Тариф, руб/маш-ч</t>
  </si>
  <si>
    <t>Маш.затраты, руб</t>
  </si>
  <si>
    <t>Мощн., кВт</t>
  </si>
  <si>
    <t>кВт·ч/шт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</si>
  <si>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</si>
  <si>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</si>
  <si>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</si>
  <si>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</si>
  <si>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</si>
  <si>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</si>
  <si>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</si>
  <si>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</si>
  <si>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</si>
  <si>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</si>
  <si>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</si>
  <si>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</si>
  <si>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</si>
  <si>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</si>
  <si>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</si>
  <si>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Для длинномера требуется отдельная оптимизация раскроя.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</si>
  <si>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</si>
  <si>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</si>
  <si>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</si>
  <si>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</si>
  <si>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</si>
  <si>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</si>
  <si>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</si>
  <si>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</si>
  <si>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</si>
  <si>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</si>
  <si>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</si>
  <si>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</si>
  <si>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</si>
  <si>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</si>
  <si>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ступеней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</si>
  <si>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</si>
  <si>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</si>
  <si>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</si>
  <si>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</si>
  <si>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</si>
  <si>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</si>
  <si>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</si>
  <si>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</si>
  <si>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</si>
  <si>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 под длинномер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</si>
  <si>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</si>
  <si>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</si>
  <si>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</si>
  <si>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</si>
  <si>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ступени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</si>
  <si>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</si>
  <si>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</si>
  <si>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</si>
  <si>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</si>
  <si>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</si>
  <si>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</si>
  <si>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</si>
  <si>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</si>
  <si>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</si>
  <si>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</si>
  <si>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</si>
  <si>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</si>
  <si>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</si>
  <si>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</si>
  <si>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</si>
  <si>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</si>
  <si>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Длинномер: больше микросколов при перемещениях.</t>
  </si>
  <si>
    <t>Подготовка к бучардированию (маскирование зон лощения)</t>
  </si>
  <si>
    <t>Разметка зон отделки, защита лощеных поверхностей, проверка равномерности фактуры</t>
  </si>
  <si>
    <t>ТЗ; маршрут</t>
  </si>
  <si>
    <t>Сочетание отделок повышает трудоемкость.</t>
  </si>
  <si>
    <t>Бучардирование поверхности (архитектурная 1 кат.)</t>
  </si>
  <si>
    <t>Бучардирование основной лицевой плоскости; равномерность рисунка; предотвращение сколов</t>
  </si>
  <si>
    <t>Включая проходы по краям/участкам повышенной твердости.</t>
  </si>
  <si>
    <t>Контроль качества бучардирования</t>
  </si>
  <si>
    <t>Контроль равномерности, отсутствия «залысин», контроль кромок после ударной обработки</t>
  </si>
  <si>
    <t>Протокол ОТК по фактуре.</t>
  </si>
  <si>
    <t>Доводка после бучардирования</t>
  </si>
  <si>
    <t>Ручная зачистка, снятие заусенцев, восстановление переходов и кромок</t>
  </si>
  <si>
    <t>Снижение риска сколов при транспортировке.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</si>
  <si>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</si>
  <si>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</si>
  <si>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</si>
  <si>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</si>
  <si>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</si>
  <si>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</si>
  <si>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Длинномер: 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</si>
  <si>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</si>
  <si>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</si>
  <si>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</si>
  <si>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</si>
  <si>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</si>
  <si>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</si>
  <si>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</si>
  <si>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</si>
  <si>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</si>
  <si>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</si>
  <si>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</si>
  <si>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</si>
  <si>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</si>
  <si>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усиленной тары для длинномера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</si>
  <si>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</si>
  <si>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</si>
  <si>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</si>
  <si>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</si>
  <si>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</si>
  <si>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</si>
  <si>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</si>
  <si>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</si>
  <si>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</si>
  <si>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</si>
  <si>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Длинномер требует фиксации от изгиба/перекоса.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</si>
  <si>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</si>
  <si>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</si>
  <si>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</si>
  <si>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</si>
  <si>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</si>
  <si>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</si>
  <si>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</si>
  <si>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</si>
  <si>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</si>
  <si>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</si>
  <si>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</si>
  <si>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</si>
  <si>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</si>
  <si>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</si>
  <si>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</si>
  <si>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</si>
  <si>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</si>
  <si>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</si>
  <si>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</si>
  <si>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</si>
  <si>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</si>
  <si>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</si>
  <si>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</si>
  <si>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</si>
  <si>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</si>
  <si>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</si>
  <si>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</si>
  <si>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</si>
  <si>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</si>
  <si>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</si>
  <si>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</si>
  <si>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</si>
  <si>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</si>
  <si>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</si>
  <si>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</si>
  <si>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</si>
  <si>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</si>
  <si>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</si>
  <si>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</si>
  <si>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</si>
  <si>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</si>
  <si>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</si>
  <si>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</si>
  <si>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</si>
  <si>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</si>
  <si>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</si>
  <si>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Стоимость за 1 шт. и за партию 24 шт., с учетом НДС (ставка во вводных данных).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</si>
  <si>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</si>
  <si>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</si>
  <si>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</si>
  <si>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</si>
  <si>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</si>
  <si>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</si>
  <si>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</si>
  <si>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</si>
  <si>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</si>
  <si>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</si>
  <si>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</si>
  <si>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</si>
  <si>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</si>
  <si>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Стоимость 1 м² (верхняя плоскость (L×W)) без НДС</t>
  </si>
  <si>
    <t>Вводные_данные!B23 (база м²/1шт) × кол-во; методика: Вводные_данные!E23</t>
  </si>
  <si>
    <t>Стоимость 1 м² (верхняя плоскость (L×W)) с НДС</t>
  </si>
  <si>
    <t>Стоимость 1 м.п. (по длине L) без НДС</t>
  </si>
  <si>
    <t>Вводные_данные!B24 (база м.п./1шт) × кол-во; методика: Вводные_данные!H23</t>
  </si>
  <si>
    <t>Стоимость 1 м.п. (по длине L) с НДС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</si>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</sst>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0" customWidth="1"/>
    <col min="2" max="2" width="80" customWidth="1"/>
    <col min="3" max="10" width="15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 t="s">
        <v>3</v>
      </c>
    </row>
    <row r="4" spans="1:2" x14ac:dyDescent="0.25">
      <c r="A4" s="3" t="s">
        <v>4</v>
      </c>
      <c r="B4" t="s">
        <v>5</v>
      </c>
    </row>
    <row r="5" spans="1:2" x14ac:dyDescent="0.25">
      <c r="A5" s="3" t="s">
        <v>6</v>
      </c>
      <c r="B5" t="s">
        <v>7</v>
      </c>
    </row>
    <row r="6" spans="1:2" x14ac:dyDescent="0.25">
      <c r="A6" s="3" t="s">
        <v>8</v>
      </c>
      <c r="B6" t="s">
        <v>9</v>
      </c>
    </row>
    <row r="7" spans="1:2" x14ac:dyDescent="0.25">
      <c r="A7" s="3" t="s">
        <v>10</v>
      </c>
      <c r="B7" t="s">
        <v>11</v>
      </c>
    </row>
    <row r="8" spans="1:2" x14ac:dyDescent="0.25">
      <c r="A8" s="3" t="s">
        <v>12</v>
      </c>
      <c r="B8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15</v>
      </c>
    </row>
    <row r="12" spans="1:2" x14ac:dyDescent="0.25">
      <c r="A12" t="s">
        <v>17</v>
      </c>
      <c r="B12" t="s">
        <v>15</v>
      </c>
    </row>
    <row r="14" spans="1:2" x14ac:dyDescent="0.25">
      <c r="A14" t="s">
        <v>18</v>
      </c>
      <c r="B1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00" customWidth="1"/>
  </cols>
  <sheetData>
    <row r="1" spans="1:1" x14ac:dyDescent="0.25">
      <c r="A1" s="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29</v>
      </c>
    </row>
    <row r="12" spans="1:1" x14ac:dyDescent="0.25">
      <c r="A12" t="s">
        <v>30</v>
      </c>
    </row>
    <row r="13" spans="1:1" x14ac:dyDescent="0.25">
      <c r="A13" t="s">
        <v>31</v>
      </c>
    </row>
    <row r="14" spans="1:1" x14ac:dyDescent="0.25">
      <c r="A14" t="s">
        <v>32</v>
      </c>
    </row>
    <row r="15" spans="1:1" x14ac:dyDescent="0.25">
      <c r="A15" t="s">
        <v>33</v>
      </c>
    </row>
    <row r="16" spans="1:1" x14ac:dyDescent="0.25">
      <c r="A16" t="s">
        <v>34</v>
      </c>
    </row>
    <row r="17" spans="1:1" x14ac:dyDescent="0.25">
      <c r="A1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35" customWidth="1"/>
    <col min="2" max="2" width="40" customWidth="1"/>
    <col min="3" max="3" width="5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" x14ac:dyDescent="0.25">
      <c r="A1" s="2" t="s">
        <v>36</v>
      </c>
    </row>
    <row r="2" spans="1:1" x14ac:dyDescent="0.25">
      <c r="A2" t="s">
        <v>37</v>
      </c>
    </row>
    <row r="4" spans="1:4" x14ac:dyDescent="0.25">
      <c r="A4" s="3" t="s">
        <v>38</v>
      </c>
      <c r="D4" s="3" t="s">
        <v>39</v>
      </c>
    </row>
    <row r="5" ht="40" customHeight="1" spans="1:5" x14ac:dyDescent="0.25">
      <c r="A5" t="s">
        <v>40</v>
      </c>
      <c r="B5" s="4" t="s">
        <v>3</v>
      </c>
      <c r="D5" t="s">
        <v>41</v>
      </c>
      <c r="E5" s="5">
        <v>2700</v>
      </c>
    </row>
    <row r="6" spans="1:5" x14ac:dyDescent="0.25">
      <c r="A6" t="s">
        <v>42</v>
      </c>
      <c r="B6" s="5">
        <v>24</v>
      </c>
      <c r="D6" t="s">
        <v>43</v>
      </c>
      <c r="E6" s="5">
        <v>1.2</v>
      </c>
    </row>
    <row r="7" spans="1:5" x14ac:dyDescent="0.25">
      <c r="A7" t="s">
        <v>44</v>
      </c>
      <c r="B7" s="5">
        <v>2500</v>
      </c>
      <c r="D7" t="s">
        <v>45</v>
      </c>
      <c r="E7" s="5">
        <v>2</v>
      </c>
    </row>
    <row r="8" spans="1:5" x14ac:dyDescent="0.25">
      <c r="A8" t="s">
        <v>46</v>
      </c>
      <c r="B8" s="5">
        <v>390</v>
      </c>
      <c r="D8" t="s">
        <v>47</v>
      </c>
      <c r="E8" s="5">
        <v>1.05</v>
      </c>
    </row>
    <row r="9" spans="1:5" x14ac:dyDescent="0.25">
      <c r="A9" t="s">
        <v>48</v>
      </c>
      <c r="B9" s="5">
        <v>150</v>
      </c>
      <c r="D9" t="s">
        <v>49</v>
      </c>
      <c r="E9" s="5">
        <v>170200</v>
      </c>
    </row>
    <row r="10" spans="1:2" x14ac:dyDescent="0.25">
      <c r="A10" t="s">
        <v>50</v>
      </c>
      <c r="B10" s="5">
        <v>1</v>
      </c>
    </row>
    <row r="11" spans="1:2" x14ac:dyDescent="0.25">
      <c r="A11" t="s">
        <v>51</v>
      </c>
      <c r="B11" t="s">
        <v>5</v>
      </c>
    </row>
    <row r="12" spans="1:2" x14ac:dyDescent="0.25">
      <c r="A12" t="s">
        <v>52</v>
      </c>
      <c r="B12" t="s">
        <v>11</v>
      </c>
    </row>
    <row r="13" spans="1:4" x14ac:dyDescent="0.25">
      <c r="A13" s="3" t="s">
        <v>53</v>
      </c>
      <c r="D13" s="3" t="s">
        <v>54</v>
      </c>
    </row>
    <row r="14" spans="1:7" x14ac:dyDescent="0.25">
      <c r="A14" s="6" t="s">
        <v>55</v>
      </c>
      <c r="B14" s="6" t="s">
        <v>56</v>
      </c>
      <c r="D14" s="6" t="s">
        <v>57</v>
      </c>
      <c r="E14" s="6" t="s">
        <v>58</v>
      </c>
      <c r="F14" s="6" t="s">
        <v>59</v>
      </c>
      <c r="G14" s="6" t="s">
        <v>60</v>
      </c>
    </row>
    <row r="15" spans="1:7" x14ac:dyDescent="0.25">
      <c r="A15" t="s">
        <v>61</v>
      </c>
      <c r="B15" s="7">
        <v>609.76</v>
      </c>
      <c r="D15" t="s">
        <v>62</v>
      </c>
      <c r="E15" s="7">
        <v>6500</v>
      </c>
      <c r="F15" t="s">
        <v>63</v>
      </c>
      <c r="G15" s="5">
        <v>25</v>
      </c>
    </row>
    <row r="16" spans="1:7" x14ac:dyDescent="0.25">
      <c r="A16" t="s">
        <v>64</v>
      </c>
      <c r="B16" s="7">
        <v>243.9</v>
      </c>
      <c r="D16" t="s">
        <v>65</v>
      </c>
      <c r="E16" s="7">
        <v>7000</v>
      </c>
      <c r="F16" t="s">
        <v>66</v>
      </c>
      <c r="G16" s="5">
        <v>30</v>
      </c>
    </row>
    <row r="17" spans="1:7" x14ac:dyDescent="0.25">
      <c r="A17" t="s">
        <v>67</v>
      </c>
      <c r="B17" s="7">
        <v>243.9</v>
      </c>
      <c r="D17" t="s">
        <v>68</v>
      </c>
      <c r="E17" s="7">
        <v>8500</v>
      </c>
      <c r="F17" t="s">
        <v>69</v>
      </c>
      <c r="G17" s="5">
        <v>35</v>
      </c>
    </row>
    <row r="18" spans="1:7" x14ac:dyDescent="0.25">
      <c r="A18" t="s">
        <v>70</v>
      </c>
      <c r="B18" s="7">
        <v>176.83</v>
      </c>
      <c r="D18" t="s">
        <v>71</v>
      </c>
      <c r="E18" s="7">
        <v>7200</v>
      </c>
      <c r="F18" t="s">
        <v>72</v>
      </c>
      <c r="G18" s="5">
        <v>20</v>
      </c>
    </row>
    <row r="19" spans="1:7" x14ac:dyDescent="0.25">
      <c r="A19" t="s">
        <v>73</v>
      </c>
      <c r="B19" s="7">
        <v>176.83</v>
      </c>
      <c r="D19" t="s">
        <v>74</v>
      </c>
      <c r="E19" s="7">
        <v>4500</v>
      </c>
      <c r="F19" t="s">
        <v>75</v>
      </c>
      <c r="G19" s="5">
        <v>10</v>
      </c>
    </row>
    <row r="20" spans="1:7" x14ac:dyDescent="0.25">
      <c r="A20" t="s">
        <v>76</v>
      </c>
      <c r="B20" s="7">
        <v>152.44</v>
      </c>
      <c r="D20" t="s">
        <v>77</v>
      </c>
      <c r="E20" s="7">
        <v>6000</v>
      </c>
      <c r="F20" t="s">
        <v>78</v>
      </c>
      <c r="G20" s="5">
        <v>15</v>
      </c>
    </row>
    <row r="21" spans="1:7" x14ac:dyDescent="0.25">
      <c r="A21" t="s">
        <v>79</v>
      </c>
      <c r="B21" s="7">
        <v>176.83</v>
      </c>
      <c r="D21" t="s">
        <v>80</v>
      </c>
      <c r="E21" s="7">
        <v>2000</v>
      </c>
      <c r="F21" t="s">
        <v>81</v>
      </c>
      <c r="G21" s="5">
        <v>5</v>
      </c>
    </row>
    <row r="23" spans="1:4" x14ac:dyDescent="0.25">
      <c r="A23" s="3" t="s">
        <v>82</v>
      </c>
      <c r="D23" s="3" t="s">
        <v>83</v>
      </c>
    </row>
    <row r="24" spans="1:9" x14ac:dyDescent="0.25">
      <c r="A24" t="s">
        <v>84</v>
      </c>
      <c r="B24" s="8">
        <v>0.9750000000000001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88</v>
      </c>
    </row>
    <row r="25" spans="1:5" x14ac:dyDescent="0.25">
      <c r="A25" t="s">
        <v>91</v>
      </c>
      <c r="B25" s="8">
        <v>2.5</v>
      </c>
      <c r="C25" t="s">
        <v>92</v>
      </c>
      <c r="D25" t="s">
        <v>93</v>
      </c>
      <c r="E25" s="5">
        <v>12</v>
      </c>
    </row>
    <row r="26" spans="4:5" x14ac:dyDescent="0.25">
      <c r="D26" t="s">
        <v>94</v>
      </c>
      <c r="E26" s="5">
        <v>0.302</v>
      </c>
    </row>
    <row r="27" spans="4:5" x14ac:dyDescent="0.25">
      <c r="D27" t="s">
        <v>95</v>
      </c>
      <c r="E27" s="5">
        <v>0.2</v>
      </c>
    </row>
    <row r="28" spans="4:5" x14ac:dyDescent="0.25">
      <c r="D28" t="s">
        <v>96</v>
      </c>
      <c r="E28" s="5">
        <v>1.73</v>
      </c>
    </row>
    <row r="29" spans="4:5" x14ac:dyDescent="0.25">
      <c r="D29" t="s">
        <v>97</v>
      </c>
      <c r="E29" s="5">
        <v>0.34</v>
      </c>
    </row>
    <row r="30" spans="4:6" x14ac:dyDescent="0.25">
      <c r="D30" t="s">
        <v>98</v>
      </c>
      <c r="E30" s="5">
        <v>0.08</v>
      </c>
      <c r="F30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45" customWidth="1"/>
    <col min="2" max="2" width="18" customWidth="1"/>
    <col min="3" max="3" width="3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" x14ac:dyDescent="0.25">
      <c r="A1" s="2" t="s">
        <v>100</v>
      </c>
    </row>
    <row r="2" spans="1:1" x14ac:dyDescent="0.25">
      <c r="A2" t="s">
        <v>101</v>
      </c>
    </row>
    <row r="4" spans="1:6" x14ac:dyDescent="0.25">
      <c r="A4" s="9" t="s">
        <v>102</v>
      </c>
      <c r="B4" s="9" t="s">
        <v>103</v>
      </c>
      <c r="C4" s="9" t="s">
        <v>104</v>
      </c>
      <c r="E4" s="9" t="s">
        <v>105</v>
      </c>
      <c r="F4" s="10"/>
    </row>
    <row r="5" spans="1:6" x14ac:dyDescent="0.25">
      <c r="A5" s="10" t="s">
        <v>106</v>
      </c>
      <c r="B5" s="11">
        <v>2.5</v>
      </c>
      <c r="C5" s="10" t="s">
        <v>107</v>
      </c>
      <c r="E5" s="10" t="s">
        <v>108</v>
      </c>
      <c r="F5" s="12">
        <v>1.2</v>
      </c>
    </row>
    <row r="6" spans="1:6" x14ac:dyDescent="0.25">
      <c r="A6" s="10" t="s">
        <v>109</v>
      </c>
      <c r="B6" s="12">
        <v>0.39</v>
      </c>
      <c r="C6" s="10" t="s">
        <v>107</v>
      </c>
      <c r="E6" s="10" t="s">
        <v>110</v>
      </c>
      <c r="F6" s="12">
        <v>2</v>
      </c>
    </row>
    <row r="7" spans="1:6" x14ac:dyDescent="0.25">
      <c r="A7" s="10" t="s">
        <v>111</v>
      </c>
      <c r="B7" s="12">
        <v>0.15</v>
      </c>
      <c r="C7" s="10" t="s">
        <v>107</v>
      </c>
      <c r="E7" s="10" t="s">
        <v>112</v>
      </c>
      <c r="F7" s="12">
        <v>1.05</v>
      </c>
    </row>
    <row r="8" spans="1:6" x14ac:dyDescent="0.25">
      <c r="A8" s="10" t="s">
        <v>113</v>
      </c>
      <c r="B8" s="12">
        <v>0.14625000000000002</v>
      </c>
      <c r="C8" s="10" t="s">
        <v>114</v>
      </c>
      <c r="E8" s="10" t="s">
        <v>115</v>
      </c>
      <c r="F8" s="12">
        <v>8.845200000000002</v>
      </c>
    </row>
    <row r="9" spans="1:6" x14ac:dyDescent="0.25">
      <c r="A9" s="10" t="s">
        <v>116</v>
      </c>
      <c r="B9" s="12">
        <v>0.9750000000000001</v>
      </c>
      <c r="C9" s="10" t="s">
        <v>117</v>
      </c>
      <c r="E9" s="10" t="s">
        <v>118</v>
      </c>
      <c r="F9" s="12">
        <v>0.3685500000000001</v>
      </c>
    </row>
    <row r="10" spans="1:6" x14ac:dyDescent="0.25">
      <c r="A10" s="10" t="s">
        <v>119</v>
      </c>
      <c r="B10" s="12">
        <v>0.9750000000000001</v>
      </c>
      <c r="C10" s="10" t="s">
        <v>117</v>
      </c>
      <c r="E10" s="10" t="s">
        <v>120</v>
      </c>
      <c r="F10" s="13">
        <v>1505453.0400000003</v>
      </c>
    </row>
    <row r="11" spans="1:6" x14ac:dyDescent="0.25">
      <c r="A11" s="10" t="s">
        <v>121</v>
      </c>
      <c r="B11" s="12">
        <v>0.375</v>
      </c>
      <c r="C11" s="10" t="s">
        <v>122</v>
      </c>
      <c r="E11" s="10" t="s">
        <v>123</v>
      </c>
      <c r="F11" s="13">
        <v>62727.210000000014</v>
      </c>
    </row>
    <row r="12" spans="1:3" x14ac:dyDescent="0.25">
      <c r="A12" s="10" t="s">
        <v>124</v>
      </c>
      <c r="B12" s="12">
        <v>0.375</v>
      </c>
      <c r="C12" s="10" t="s">
        <v>122</v>
      </c>
    </row>
    <row r="13" spans="1:3" x14ac:dyDescent="0.25">
      <c r="A13" s="10" t="s">
        <v>125</v>
      </c>
      <c r="B13" s="12">
        <v>0.11699999999999999</v>
      </c>
      <c r="C13" s="10" t="s">
        <v>126</v>
      </c>
    </row>
    <row r="14" spans="1:3" x14ac:dyDescent="0.25">
      <c r="A14" s="10" t="s">
        <v>127</v>
      </c>
      <c r="B14" s="11">
        <v>2.817</v>
      </c>
      <c r="C14" s="10" t="s">
        <v>128</v>
      </c>
    </row>
    <row r="15" spans="1:3" x14ac:dyDescent="0.25">
      <c r="A15" s="10" t="s">
        <v>129</v>
      </c>
      <c r="B15" s="11">
        <v>3.2800000000000002</v>
      </c>
      <c r="C15" s="10" t="s">
        <v>130</v>
      </c>
    </row>
    <row r="16" spans="1:3" x14ac:dyDescent="0.25">
      <c r="A16" s="10" t="s">
        <v>131</v>
      </c>
      <c r="B16" s="11">
        <v>12.16</v>
      </c>
      <c r="C16" s="10" t="s">
        <v>132</v>
      </c>
    </row>
    <row r="17" spans="1:3" x14ac:dyDescent="0.25">
      <c r="A17" s="10" t="s">
        <v>133</v>
      </c>
      <c r="B17" s="11">
        <v>394.87500000000006</v>
      </c>
      <c r="C17" s="10" t="s">
        <v>134</v>
      </c>
    </row>
    <row r="18" spans="1:3" x14ac:dyDescent="0.25">
      <c r="A18" s="10" t="s">
        <v>42</v>
      </c>
      <c r="B18" s="11">
        <v>24</v>
      </c>
      <c r="C18" s="10" t="s">
        <v>31</v>
      </c>
    </row>
    <row r="19" spans="1:3" x14ac:dyDescent="0.25">
      <c r="A19" s="10" t="s">
        <v>135</v>
      </c>
      <c r="B19" s="11">
        <v>3.5100000000000007</v>
      </c>
      <c r="C19" s="10" t="s">
        <v>136</v>
      </c>
    </row>
    <row r="20" spans="1:3" x14ac:dyDescent="0.25">
      <c r="A20" s="10" t="s">
        <v>137</v>
      </c>
      <c r="B20" s="11">
        <v>9477.000000000002</v>
      </c>
      <c r="C20" s="10" t="s">
        <v>138</v>
      </c>
    </row>
    <row r="22" spans="1:3" x14ac:dyDescent="0.25">
      <c r="A22" t="s">
        <v>139</v>
      </c>
      <c r="B22" s="14">
        <v>0.9750000000000001</v>
      </c>
      <c r="C22" t="s">
        <v>140</v>
      </c>
    </row>
    <row r="23" spans="1:3" x14ac:dyDescent="0.25">
      <c r="A23" t="s">
        <v>141</v>
      </c>
      <c r="B23" s="14">
        <v>2.5</v>
      </c>
      <c r="C23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" x14ac:dyDescent="0.25">
      <c r="A1" s="2" t="s">
        <v>143</v>
      </c>
    </row>
    <row r="2" spans="1:1" x14ac:dyDescent="0.25">
      <c r="A2" t="s">
        <v>144</v>
      </c>
    </row>
    <row r="4" spans="1:10" x14ac:dyDescent="0.25">
      <c r="A4" s="15" t="s">
        <v>145</v>
      </c>
      <c r="B4" s="15" t="s">
        <v>146</v>
      </c>
      <c r="C4" s="15" t="s">
        <v>147</v>
      </c>
      <c r="D4" s="15" t="s">
        <v>148</v>
      </c>
      <c r="E4" s="15" t="s">
        <v>149</v>
      </c>
      <c r="F4" s="15" t="s">
        <v>150</v>
      </c>
      <c r="G4" s="15" t="s">
        <v>151</v>
      </c>
      <c r="H4" s="15" t="s">
        <v>152</v>
      </c>
      <c r="I4" s="15" t="s">
        <v>153</v>
      </c>
      <c r="J4" s="15" t="s">
        <v>154</v>
      </c>
    </row>
    <row r="5" spans="1:10" x14ac:dyDescent="0.25">
      <c r="A5" s="10">
        <v>1</v>
      </c>
      <c r="B5" s="16" t="s">
        <v>155</v>
      </c>
      <c r="C5" s="10" t="s">
        <v>156</v>
      </c>
      <c r="D5" s="17">
        <v>8.845200000000002</v>
      </c>
      <c r="E5" s="18">
        <v>170200</v>
      </c>
      <c r="F5" s="13">
        <f>D5*E5</f>
      </c>
      <c r="G5" s="10" t="s">
        <v>157</v>
      </c>
      <c r="H5" s="10" t="s">
        <v>158</v>
      </c>
      <c r="I5" s="10" t="s">
        <v>159</v>
      </c>
      <c r="J5" s="16" t="s">
        <v>160</v>
      </c>
    </row>
    <row r="6" spans="1:10" x14ac:dyDescent="0.25">
      <c r="A6" s="10">
        <v>2</v>
      </c>
      <c r="B6" s="16" t="s">
        <v>161</v>
      </c>
      <c r="C6" s="10" t="s">
        <v>162</v>
      </c>
      <c r="D6" s="19">
        <v>1</v>
      </c>
      <c r="E6" s="18">
        <v>10000</v>
      </c>
      <c r="F6" s="13">
        <f>D6*E6</f>
      </c>
      <c r="G6" s="10" t="s">
        <v>163</v>
      </c>
      <c r="H6" s="10" t="s">
        <v>164</v>
      </c>
      <c r="I6" s="10" t="s">
        <v>165</v>
      </c>
      <c r="J6" s="16" t="s">
        <v>166</v>
      </c>
    </row>
    <row r="7" spans="1:10" x14ac:dyDescent="0.25">
      <c r="A7" s="10">
        <v>3</v>
      </c>
      <c r="B7" s="16" t="s">
        <v>167</v>
      </c>
      <c r="C7" s="10" t="s">
        <v>162</v>
      </c>
      <c r="D7" s="19">
        <v>1</v>
      </c>
      <c r="E7" s="18">
        <v>8000</v>
      </c>
      <c r="F7" s="13">
        <f>D7*E7</f>
      </c>
      <c r="G7" s="10" t="s">
        <v>163</v>
      </c>
      <c r="H7" s="10" t="s">
        <v>164</v>
      </c>
      <c r="I7" s="10" t="s">
        <v>168</v>
      </c>
      <c r="J7" s="16" t="s">
        <v>169</v>
      </c>
    </row>
    <row r="8" spans="1:10" x14ac:dyDescent="0.25">
      <c r="A8" s="10">
        <v>4</v>
      </c>
      <c r="B8" s="16" t="s">
        <v>170</v>
      </c>
      <c r="C8" s="10" t="s">
        <v>171</v>
      </c>
      <c r="D8" s="19">
        <v>47</v>
      </c>
      <c r="E8" s="18">
        <v>8500</v>
      </c>
      <c r="F8" s="13">
        <f>D8*E8</f>
      </c>
      <c r="G8" s="10" t="s">
        <v>163</v>
      </c>
      <c r="H8" s="10" t="s">
        <v>172</v>
      </c>
      <c r="I8" s="10" t="s">
        <v>173</v>
      </c>
      <c r="J8" s="16" t="s">
        <v>174</v>
      </c>
    </row>
    <row r="9" spans="1:10" x14ac:dyDescent="0.25">
      <c r="A9" s="10">
        <v>5</v>
      </c>
      <c r="B9" s="16" t="s">
        <v>175</v>
      </c>
      <c r="C9" s="10" t="s">
        <v>162</v>
      </c>
      <c r="D9" s="19">
        <v>24</v>
      </c>
      <c r="E9" s="18">
        <v>6500</v>
      </c>
      <c r="F9" s="13">
        <f>D9*E9</f>
      </c>
      <c r="G9" s="10" t="s">
        <v>163</v>
      </c>
      <c r="H9" s="10" t="s">
        <v>176</v>
      </c>
      <c r="I9" s="10" t="s">
        <v>177</v>
      </c>
      <c r="J9" s="16" t="s">
        <v>178</v>
      </c>
    </row>
    <row r="10" spans="1:10" x14ac:dyDescent="0.25">
      <c r="A10" s="10">
        <v>6</v>
      </c>
      <c r="B10" s="16" t="s">
        <v>179</v>
      </c>
      <c r="C10" s="10" t="s">
        <v>162</v>
      </c>
      <c r="D10" s="19">
        <v>24</v>
      </c>
      <c r="E10" s="18">
        <v>1200</v>
      </c>
      <c r="F10" s="13">
        <f>D10*E10</f>
      </c>
      <c r="G10" s="10" t="s">
        <v>180</v>
      </c>
      <c r="H10" s="10" t="s">
        <v>181</v>
      </c>
      <c r="I10" s="10" t="s">
        <v>182</v>
      </c>
      <c r="J10" s="16" t="s">
        <v>183</v>
      </c>
    </row>
    <row r="11" spans="1:10" x14ac:dyDescent="0.25">
      <c r="A11" s="10">
        <v>7</v>
      </c>
      <c r="B11" s="16" t="s">
        <v>184</v>
      </c>
      <c r="C11" s="10" t="s">
        <v>162</v>
      </c>
      <c r="D11" s="19">
        <v>24</v>
      </c>
      <c r="E11" s="18">
        <v>800</v>
      </c>
      <c r="F11" s="13">
        <f>D11*E11</f>
      </c>
      <c r="G11" s="10" t="s">
        <v>185</v>
      </c>
      <c r="H11" s="10" t="s">
        <v>181</v>
      </c>
      <c r="I11" s="10" t="s">
        <v>182</v>
      </c>
      <c r="J11" s="16" t="s">
        <v>186</v>
      </c>
    </row>
    <row r="12" spans="1:10" x14ac:dyDescent="0.25">
      <c r="A12" s="10">
        <v>8</v>
      </c>
      <c r="B12" s="16" t="s">
        <v>187</v>
      </c>
      <c r="C12" s="10" t="s">
        <v>162</v>
      </c>
      <c r="D12" s="19">
        <v>24</v>
      </c>
      <c r="E12" s="18">
        <v>18000</v>
      </c>
      <c r="F12" s="13">
        <f>D12*E12</f>
      </c>
      <c r="G12" s="10" t="s">
        <v>188</v>
      </c>
      <c r="H12" s="10" t="s">
        <v>189</v>
      </c>
      <c r="I12" s="10" t="s">
        <v>190</v>
      </c>
      <c r="J12" s="16" t="s">
        <v>191</v>
      </c>
    </row>
    <row r="13" spans="1:10" x14ac:dyDescent="0.25">
      <c r="A13" s="10">
        <v>9</v>
      </c>
      <c r="B13" s="16" t="s">
        <v>192</v>
      </c>
      <c r="C13" s="10" t="s">
        <v>162</v>
      </c>
      <c r="D13" s="19">
        <v>24</v>
      </c>
      <c r="E13" s="18">
        <v>1500</v>
      </c>
      <c r="F13" s="13">
        <f>D13*E13</f>
      </c>
      <c r="G13" s="10" t="s">
        <v>185</v>
      </c>
      <c r="H13" s="10" t="s">
        <v>181</v>
      </c>
      <c r="I13" s="10" t="s">
        <v>182</v>
      </c>
      <c r="J13" s="16" t="s">
        <v>193</v>
      </c>
    </row>
    <row r="14" spans="1:10" x14ac:dyDescent="0.25">
      <c r="A14" s="10">
        <v>10</v>
      </c>
      <c r="B14" s="16" t="s">
        <v>194</v>
      </c>
      <c r="C14" s="10" t="s">
        <v>162</v>
      </c>
      <c r="D14" s="19">
        <v>24</v>
      </c>
      <c r="E14" s="18">
        <v>600</v>
      </c>
      <c r="F14" s="13">
        <f>D14*E14</f>
      </c>
      <c r="G14" s="10" t="s">
        <v>185</v>
      </c>
      <c r="H14" s="10" t="s">
        <v>181</v>
      </c>
      <c r="I14" s="10" t="s">
        <v>182</v>
      </c>
      <c r="J14" s="16" t="s">
        <v>195</v>
      </c>
    </row>
    <row r="16" spans="5:6" x14ac:dyDescent="0.25">
      <c r="E16" s="3" t="s">
        <v>196</v>
      </c>
      <c r="F16" s="20">
        <f>SUM(F5:F14)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" x14ac:dyDescent="0.25">
      <c r="A1" s="2" t="s">
        <v>197</v>
      </c>
    </row>
    <row r="2" spans="1:1" x14ac:dyDescent="0.25">
      <c r="A2" t="s">
        <v>198</v>
      </c>
    </row>
    <row r="4" ht="35" customHeight="1" spans="1:21" x14ac:dyDescent="0.25">
      <c r="A4" s="21" t="s">
        <v>145</v>
      </c>
      <c r="B4" s="21" t="s">
        <v>199</v>
      </c>
      <c r="C4" s="21" t="s">
        <v>200</v>
      </c>
      <c r="D4" s="21" t="s">
        <v>201</v>
      </c>
      <c r="E4" s="21" t="s">
        <v>202</v>
      </c>
      <c r="F4" s="21" t="s">
        <v>152</v>
      </c>
      <c r="G4" s="21" t="s">
        <v>203</v>
      </c>
      <c r="H4" s="21" t="s">
        <v>204</v>
      </c>
      <c r="I4" s="21" t="s">
        <v>205</v>
      </c>
      <c r="J4" s="21" t="s">
        <v>56</v>
      </c>
      <c r="K4" s="21" t="s">
        <v>206</v>
      </c>
      <c r="L4" s="21" t="s">
        <v>207</v>
      </c>
      <c r="M4" s="21" t="s">
        <v>208</v>
      </c>
      <c r="N4" s="21" t="s">
        <v>209</v>
      </c>
      <c r="O4" s="21" t="s">
        <v>210</v>
      </c>
      <c r="P4" s="21" t="s">
        <v>211</v>
      </c>
      <c r="Q4" s="21" t="s">
        <v>212</v>
      </c>
      <c r="R4" s="21" t="s">
        <v>213</v>
      </c>
      <c r="S4" s="21" t="s">
        <v>214</v>
      </c>
      <c r="T4" s="21" t="s">
        <v>215</v>
      </c>
      <c r="U4" s="21" t="s">
        <v>154</v>
      </c>
    </row>
    <row r="5" spans="1:21" x14ac:dyDescent="0.25">
      <c r="A5" s="10">
        <v>1</v>
      </c>
      <c r="B5" s="16" t="s">
        <v>216</v>
      </c>
      <c r="C5" s="16" t="s">
        <v>217</v>
      </c>
      <c r="D5" s="10" t="s">
        <v>80</v>
      </c>
      <c r="E5" s="10" t="s">
        <v>64</v>
      </c>
      <c r="F5" s="10" t="s">
        <v>218</v>
      </c>
      <c r="G5" s="10" t="s">
        <v>219</v>
      </c>
      <c r="H5" s="22">
        <v>1.5</v>
      </c>
      <c r="I5" s="10">
        <v>36</v>
      </c>
      <c r="J5" s="13">
        <v>243.9</v>
      </c>
      <c r="K5" s="13">
        <f>I5*J5</f>
      </c>
      <c r="L5" s="13">
        <f>K5*0.302</f>
      </c>
      <c r="M5" s="22">
        <v>0.3</v>
      </c>
      <c r="N5" s="10">
        <v>7.199999999999999</v>
      </c>
      <c r="O5" s="13">
        <v>2000</v>
      </c>
      <c r="P5" s="13">
        <f>N5*O5</f>
      </c>
      <c r="Q5" s="10">
        <v>5</v>
      </c>
      <c r="R5" s="10">
        <f>Q5*M5</f>
      </c>
      <c r="S5" s="13">
        <f>Q5*N5*12</f>
      </c>
      <c r="T5" s="13">
        <f>K5+L5+P5+S5</f>
      </c>
      <c r="U5" s="16" t="s">
        <v>220</v>
      </c>
    </row>
    <row r="6" spans="1:21" x14ac:dyDescent="0.25">
      <c r="A6" s="10">
        <v>2</v>
      </c>
      <c r="B6" s="16" t="s">
        <v>221</v>
      </c>
      <c r="C6" s="16" t="s">
        <v>222</v>
      </c>
      <c r="D6" s="10" t="s">
        <v>31</v>
      </c>
      <c r="E6" s="10" t="s">
        <v>64</v>
      </c>
      <c r="F6" s="10" t="s">
        <v>223</v>
      </c>
      <c r="G6" s="10" t="s">
        <v>224</v>
      </c>
      <c r="H6" s="22">
        <v>2.5</v>
      </c>
      <c r="I6" s="10">
        <v>60</v>
      </c>
      <c r="J6" s="13">
        <v>243.9</v>
      </c>
      <c r="K6" s="13">
        <f>I6*J6</f>
      </c>
      <c r="L6" s="13">
        <f>K6*0.302</f>
      </c>
      <c r="M6" s="22">
        <v>0</v>
      </c>
      <c r="N6" s="10">
        <v>0</v>
      </c>
      <c r="O6" s="13">
        <v>0</v>
      </c>
      <c r="P6" s="13">
        <f>N6*O6</f>
      </c>
      <c r="Q6" s="10">
        <v>0</v>
      </c>
      <c r="R6" s="10">
        <f>Q6*M6</f>
      </c>
      <c r="S6" s="13">
        <f>Q6*N6*12</f>
      </c>
      <c r="T6" s="13">
        <f>K6+L6+P6+S6</f>
      </c>
      <c r="U6" s="16" t="s">
        <v>225</v>
      </c>
    </row>
    <row r="7" spans="1:21" x14ac:dyDescent="0.25">
      <c r="A7" s="10">
        <v>3</v>
      </c>
      <c r="B7" s="16" t="s">
        <v>226</v>
      </c>
      <c r="C7" s="16" t="s">
        <v>227</v>
      </c>
      <c r="D7" s="10" t="s">
        <v>31</v>
      </c>
      <c r="E7" s="10" t="s">
        <v>67</v>
      </c>
      <c r="F7" s="10" t="s">
        <v>228</v>
      </c>
      <c r="G7" s="10" t="s">
        <v>224</v>
      </c>
      <c r="H7" s="22">
        <v>1.8</v>
      </c>
      <c r="I7" s="10">
        <v>43.2</v>
      </c>
      <c r="J7" s="13">
        <v>243.9</v>
      </c>
      <c r="K7" s="13">
        <f>I7*J7</f>
      </c>
      <c r="L7" s="13">
        <f>K7*0.302</f>
      </c>
      <c r="M7" s="22">
        <v>0</v>
      </c>
      <c r="N7" s="10">
        <v>0</v>
      </c>
      <c r="O7" s="13">
        <v>0</v>
      </c>
      <c r="P7" s="13">
        <f>N7*O7</f>
      </c>
      <c r="Q7" s="10">
        <v>0</v>
      </c>
      <c r="R7" s="10">
        <f>Q7*M7</f>
      </c>
      <c r="S7" s="13">
        <f>Q7*N7*12</f>
      </c>
      <c r="T7" s="13">
        <f>K7+L7+P7+S7</f>
      </c>
      <c r="U7" s="16" t="s">
        <v>229</v>
      </c>
    </row>
    <row r="8" spans="1:21" x14ac:dyDescent="0.25">
      <c r="A8" s="10">
        <v>4</v>
      </c>
      <c r="B8" s="16" t="s">
        <v>230</v>
      </c>
      <c r="C8" s="16" t="s">
        <v>231</v>
      </c>
      <c r="D8" s="10" t="s">
        <v>80</v>
      </c>
      <c r="E8" s="10" t="s">
        <v>76</v>
      </c>
      <c r="F8" s="10" t="s">
        <v>232</v>
      </c>
      <c r="G8" s="10" t="s">
        <v>233</v>
      </c>
      <c r="H8" s="22">
        <v>1.2</v>
      </c>
      <c r="I8" s="10">
        <v>28.799999999999997</v>
      </c>
      <c r="J8" s="13">
        <v>152.44</v>
      </c>
      <c r="K8" s="13">
        <f>I8*J8</f>
      </c>
      <c r="L8" s="13">
        <f>K8*0.302</f>
      </c>
      <c r="M8" s="22">
        <v>0.5</v>
      </c>
      <c r="N8" s="10">
        <v>12</v>
      </c>
      <c r="O8" s="13">
        <v>2000</v>
      </c>
      <c r="P8" s="13">
        <f>N8*O8</f>
      </c>
      <c r="Q8" s="10">
        <v>5</v>
      </c>
      <c r="R8" s="10">
        <f>Q8*M8</f>
      </c>
      <c r="S8" s="13">
        <f>Q8*N8*12</f>
      </c>
      <c r="T8" s="13">
        <f>K8+L8+P8+S8</f>
      </c>
      <c r="U8" s="16" t="s">
        <v>234</v>
      </c>
    </row>
    <row r="9" spans="1:21" x14ac:dyDescent="0.25">
      <c r="A9" s="10">
        <v>5</v>
      </c>
      <c r="B9" s="16" t="s">
        <v>235</v>
      </c>
      <c r="C9" s="16" t="s">
        <v>236</v>
      </c>
      <c r="D9" s="10" t="s">
        <v>62</v>
      </c>
      <c r="E9" s="10" t="s">
        <v>70</v>
      </c>
      <c r="F9" s="10" t="s">
        <v>237</v>
      </c>
      <c r="G9" s="10" t="s">
        <v>238</v>
      </c>
      <c r="H9" s="22">
        <v>3.2</v>
      </c>
      <c r="I9" s="10">
        <v>76.80000000000001</v>
      </c>
      <c r="J9" s="13">
        <v>176.83</v>
      </c>
      <c r="K9" s="13">
        <f>I9*J9</f>
      </c>
      <c r="L9" s="13">
        <f>K9*0.302</f>
      </c>
      <c r="M9" s="22">
        <v>2</v>
      </c>
      <c r="N9" s="10">
        <v>48</v>
      </c>
      <c r="O9" s="13">
        <v>6500</v>
      </c>
      <c r="P9" s="13">
        <f>N9*O9</f>
      </c>
      <c r="Q9" s="10">
        <v>25</v>
      </c>
      <c r="R9" s="10">
        <f>Q9*M9</f>
      </c>
      <c r="S9" s="13">
        <f>Q9*N9*12</f>
      </c>
      <c r="T9" s="13">
        <f>K9+L9+P9+S9</f>
      </c>
      <c r="U9" s="16" t="s">
        <v>239</v>
      </c>
    </row>
    <row r="10" spans="1:21" x14ac:dyDescent="0.25">
      <c r="A10" s="10">
        <v>6</v>
      </c>
      <c r="B10" s="16" t="s">
        <v>240</v>
      </c>
      <c r="C10" s="16" t="s">
        <v>241</v>
      </c>
      <c r="D10" s="10" t="s">
        <v>31</v>
      </c>
      <c r="E10" s="10" t="s">
        <v>64</v>
      </c>
      <c r="F10" s="10" t="s">
        <v>242</v>
      </c>
      <c r="G10" s="10" t="s">
        <v>224</v>
      </c>
      <c r="H10" s="22">
        <v>1</v>
      </c>
      <c r="I10" s="10">
        <v>24</v>
      </c>
      <c r="J10" s="13">
        <v>243.9</v>
      </c>
      <c r="K10" s="13">
        <f>I10*J10</f>
      </c>
      <c r="L10" s="13">
        <f>K10*0.302</f>
      </c>
      <c r="M10" s="22">
        <v>0</v>
      </c>
      <c r="N10" s="10">
        <v>0</v>
      </c>
      <c r="O10" s="13">
        <v>0</v>
      </c>
      <c r="P10" s="13">
        <f>N10*O10</f>
      </c>
      <c r="Q10" s="10">
        <v>0</v>
      </c>
      <c r="R10" s="10">
        <f>Q10*M10</f>
      </c>
      <c r="S10" s="13">
        <f>Q10*N10*12</f>
      </c>
      <c r="T10" s="13">
        <f>K10+L10+P10+S10</f>
      </c>
      <c r="U10" s="16" t="s">
        <v>243</v>
      </c>
    </row>
    <row r="11" spans="1:21" x14ac:dyDescent="0.25">
      <c r="A11" s="10">
        <v>7</v>
      </c>
      <c r="B11" s="16" t="s">
        <v>244</v>
      </c>
      <c r="C11" s="16" t="s">
        <v>245</v>
      </c>
      <c r="D11" s="10" t="s">
        <v>62</v>
      </c>
      <c r="E11" s="10" t="s">
        <v>70</v>
      </c>
      <c r="F11" s="10" t="s">
        <v>237</v>
      </c>
      <c r="G11" s="10" t="s">
        <v>238</v>
      </c>
      <c r="H11" s="22">
        <v>2.8</v>
      </c>
      <c r="I11" s="10">
        <v>67.19999999999999</v>
      </c>
      <c r="J11" s="13">
        <v>176.83</v>
      </c>
      <c r="K11" s="13">
        <f>I11*J11</f>
      </c>
      <c r="L11" s="13">
        <f>K11*0.302</f>
      </c>
      <c r="M11" s="22">
        <v>1.6</v>
      </c>
      <c r="N11" s="10">
        <v>38.400000000000006</v>
      </c>
      <c r="O11" s="13">
        <v>6500</v>
      </c>
      <c r="P11" s="13">
        <f>N11*O11</f>
      </c>
      <c r="Q11" s="10">
        <v>25</v>
      </c>
      <c r="R11" s="10">
        <f>Q11*M11</f>
      </c>
      <c r="S11" s="13">
        <f>Q11*N11*12</f>
      </c>
      <c r="T11" s="13">
        <f>K11+L11+P11+S11</f>
      </c>
      <c r="U11" s="16" t="s">
        <v>246</v>
      </c>
    </row>
    <row r="12" spans="1:21" x14ac:dyDescent="0.25">
      <c r="A12" s="10">
        <v>8</v>
      </c>
      <c r="B12" s="16" t="s">
        <v>247</v>
      </c>
      <c r="C12" s="16" t="s">
        <v>248</v>
      </c>
      <c r="D12" s="10" t="s">
        <v>65</v>
      </c>
      <c r="E12" s="10" t="s">
        <v>70</v>
      </c>
      <c r="F12" s="10" t="s">
        <v>237</v>
      </c>
      <c r="G12" s="10" t="s">
        <v>249</v>
      </c>
      <c r="H12" s="22">
        <v>4</v>
      </c>
      <c r="I12" s="10">
        <v>96</v>
      </c>
      <c r="J12" s="13">
        <v>176.83</v>
      </c>
      <c r="K12" s="13">
        <f>I12*J12</f>
      </c>
      <c r="L12" s="13">
        <f>K12*0.302</f>
      </c>
      <c r="M12" s="22">
        <v>2.4</v>
      </c>
      <c r="N12" s="10">
        <v>57.599999999999994</v>
      </c>
      <c r="O12" s="13">
        <v>7000</v>
      </c>
      <c r="P12" s="13">
        <f>N12*O12</f>
      </c>
      <c r="Q12" s="10">
        <v>30</v>
      </c>
      <c r="R12" s="10">
        <f>Q12*M12</f>
      </c>
      <c r="S12" s="13">
        <f>Q12*N12*12</f>
      </c>
      <c r="T12" s="13">
        <f>K12+L12+P12+S12</f>
      </c>
      <c r="U12" s="16" t="s">
        <v>250</v>
      </c>
    </row>
    <row r="13" spans="1:21" x14ac:dyDescent="0.25">
      <c r="A13" s="10">
        <v>9</v>
      </c>
      <c r="B13" s="16" t="s">
        <v>251</v>
      </c>
      <c r="C13" s="16" t="s">
        <v>252</v>
      </c>
      <c r="D13" s="10" t="s">
        <v>31</v>
      </c>
      <c r="E13" s="10" t="s">
        <v>64</v>
      </c>
      <c r="F13" s="10" t="s">
        <v>242</v>
      </c>
      <c r="G13" s="10" t="s">
        <v>224</v>
      </c>
      <c r="H13" s="22">
        <v>1.2</v>
      </c>
      <c r="I13" s="10">
        <v>28.799999999999997</v>
      </c>
      <c r="J13" s="13">
        <v>243.9</v>
      </c>
      <c r="K13" s="13">
        <f>I13*J13</f>
      </c>
      <c r="L13" s="13">
        <f>K13*0.302</f>
      </c>
      <c r="M13" s="22">
        <v>0</v>
      </c>
      <c r="N13" s="10">
        <v>0</v>
      </c>
      <c r="O13" s="13">
        <v>0</v>
      </c>
      <c r="P13" s="13">
        <f>N13*O13</f>
      </c>
      <c r="Q13" s="10">
        <v>0</v>
      </c>
      <c r="R13" s="10">
        <f>Q13*M13</f>
      </c>
      <c r="S13" s="13">
        <f>Q13*N13*12</f>
      </c>
      <c r="T13" s="13">
        <f>K13+L13+P13+S13</f>
      </c>
      <c r="U13" s="16" t="s">
        <v>253</v>
      </c>
    </row>
    <row r="14" spans="1:21" x14ac:dyDescent="0.25">
      <c r="A14" s="10">
        <v>10</v>
      </c>
      <c r="B14" s="16" t="s">
        <v>254</v>
      </c>
      <c r="C14" s="16" t="s">
        <v>255</v>
      </c>
      <c r="D14" s="10" t="s">
        <v>68</v>
      </c>
      <c r="E14" s="10" t="s">
        <v>67</v>
      </c>
      <c r="F14" s="10" t="s">
        <v>256</v>
      </c>
      <c r="G14" s="10" t="s">
        <v>238</v>
      </c>
      <c r="H14" s="22">
        <v>1.6</v>
      </c>
      <c r="I14" s="10">
        <v>38.400000000000006</v>
      </c>
      <c r="J14" s="13">
        <v>243.9</v>
      </c>
      <c r="K14" s="13">
        <f>I14*J14</f>
      </c>
      <c r="L14" s="13">
        <f>K14*0.302</f>
      </c>
      <c r="M14" s="22">
        <v>0.6</v>
      </c>
      <c r="N14" s="10">
        <v>14.399999999999999</v>
      </c>
      <c r="O14" s="13">
        <v>8500</v>
      </c>
      <c r="P14" s="13">
        <f>N14*O14</f>
      </c>
      <c r="Q14" s="10">
        <v>35</v>
      </c>
      <c r="R14" s="10">
        <f>Q14*M14</f>
      </c>
      <c r="S14" s="13">
        <f>Q14*N14*12</f>
      </c>
      <c r="T14" s="13">
        <f>K14+L14+P14+S14</f>
      </c>
      <c r="U14" s="16" t="s">
        <v>257</v>
      </c>
    </row>
    <row r="15" spans="1:21" x14ac:dyDescent="0.25">
      <c r="A15" s="10">
        <v>11</v>
      </c>
      <c r="B15" s="16" t="s">
        <v>258</v>
      </c>
      <c r="C15" s="16" t="s">
        <v>259</v>
      </c>
      <c r="D15" s="10" t="s">
        <v>68</v>
      </c>
      <c r="E15" s="10" t="s">
        <v>70</v>
      </c>
      <c r="F15" s="10" t="s">
        <v>237</v>
      </c>
      <c r="G15" s="10" t="s">
        <v>238</v>
      </c>
      <c r="H15" s="22">
        <v>3.4</v>
      </c>
      <c r="I15" s="10">
        <v>81.6</v>
      </c>
      <c r="J15" s="13">
        <v>176.83</v>
      </c>
      <c r="K15" s="13">
        <f>I15*J15</f>
      </c>
      <c r="L15" s="13">
        <f>K15*0.302</f>
      </c>
      <c r="M15" s="22">
        <v>2</v>
      </c>
      <c r="N15" s="10">
        <v>48</v>
      </c>
      <c r="O15" s="13">
        <v>8500</v>
      </c>
      <c r="P15" s="13">
        <f>N15*O15</f>
      </c>
      <c r="Q15" s="10">
        <v>35</v>
      </c>
      <c r="R15" s="10">
        <f>Q15*M15</f>
      </c>
      <c r="S15" s="13">
        <f>Q15*N15*12</f>
      </c>
      <c r="T15" s="13">
        <f>K15+L15+P15+S15</f>
      </c>
      <c r="U15" s="16" t="s">
        <v>260</v>
      </c>
    </row>
    <row r="16" spans="1:21" x14ac:dyDescent="0.25">
      <c r="A16" s="10">
        <v>12</v>
      </c>
      <c r="B16" s="16" t="s">
        <v>261</v>
      </c>
      <c r="C16" s="16" t="s">
        <v>262</v>
      </c>
      <c r="D16" s="10" t="s">
        <v>80</v>
      </c>
      <c r="E16" s="10" t="s">
        <v>76</v>
      </c>
      <c r="F16" s="10" t="s">
        <v>263</v>
      </c>
      <c r="G16" s="10" t="s">
        <v>264</v>
      </c>
      <c r="H16" s="22">
        <v>1</v>
      </c>
      <c r="I16" s="10">
        <v>24</v>
      </c>
      <c r="J16" s="13">
        <v>152.44</v>
      </c>
      <c r="K16" s="13">
        <f>I16*J16</f>
      </c>
      <c r="L16" s="13">
        <f>K16*0.302</f>
      </c>
      <c r="M16" s="22">
        <v>0.4</v>
      </c>
      <c r="N16" s="10">
        <v>9.600000000000001</v>
      </c>
      <c r="O16" s="13">
        <v>2000</v>
      </c>
      <c r="P16" s="13">
        <f>N16*O16</f>
      </c>
      <c r="Q16" s="10">
        <v>5</v>
      </c>
      <c r="R16" s="10">
        <f>Q16*M16</f>
      </c>
      <c r="S16" s="13">
        <f>Q16*N16*12</f>
      </c>
      <c r="T16" s="13">
        <f>K16+L16+P16+S16</f>
      </c>
      <c r="U16" s="16" t="s">
        <v>265</v>
      </c>
    </row>
    <row r="17" spans="1:21" x14ac:dyDescent="0.25">
      <c r="A17" s="10">
        <v>13</v>
      </c>
      <c r="B17" s="16" t="s">
        <v>266</v>
      </c>
      <c r="C17" s="16" t="s">
        <v>267</v>
      </c>
      <c r="D17" s="10" t="s">
        <v>71</v>
      </c>
      <c r="E17" s="10" t="s">
        <v>70</v>
      </c>
      <c r="F17" s="10" t="s">
        <v>237</v>
      </c>
      <c r="G17" s="10" t="s">
        <v>268</v>
      </c>
      <c r="H17" s="22">
        <v>3.2</v>
      </c>
      <c r="I17" s="10">
        <v>76.80000000000001</v>
      </c>
      <c r="J17" s="13">
        <v>176.83</v>
      </c>
      <c r="K17" s="13">
        <f>I17*J17</f>
      </c>
      <c r="L17" s="13">
        <f>K17*0.302</f>
      </c>
      <c r="M17" s="22">
        <v>1.4</v>
      </c>
      <c r="N17" s="10">
        <v>33.599999999999994</v>
      </c>
      <c r="O17" s="13">
        <v>7200</v>
      </c>
      <c r="P17" s="13">
        <f>N17*O17</f>
      </c>
      <c r="Q17" s="10">
        <v>20</v>
      </c>
      <c r="R17" s="10">
        <f>Q17*M17</f>
      </c>
      <c r="S17" s="13">
        <f>Q17*N17*12</f>
      </c>
      <c r="T17" s="13">
        <f>K17+L17+P17+S17</f>
      </c>
      <c r="U17" s="16" t="s">
        <v>269</v>
      </c>
    </row>
    <row r="18" spans="1:21" x14ac:dyDescent="0.25">
      <c r="A18" s="10">
        <v>14</v>
      </c>
      <c r="B18" s="16" t="s">
        <v>270</v>
      </c>
      <c r="C18" s="16" t="s">
        <v>271</v>
      </c>
      <c r="D18" s="10" t="s">
        <v>31</v>
      </c>
      <c r="E18" s="10" t="s">
        <v>70</v>
      </c>
      <c r="F18" s="10" t="s">
        <v>272</v>
      </c>
      <c r="G18" s="10" t="s">
        <v>224</v>
      </c>
      <c r="H18" s="22">
        <v>4</v>
      </c>
      <c r="I18" s="10">
        <v>96</v>
      </c>
      <c r="J18" s="13">
        <v>176.83</v>
      </c>
      <c r="K18" s="13">
        <f>I18*J18</f>
      </c>
      <c r="L18" s="13">
        <f>K18*0.302</f>
      </c>
      <c r="M18" s="22">
        <v>0</v>
      </c>
      <c r="N18" s="10">
        <v>0</v>
      </c>
      <c r="O18" s="13">
        <v>0</v>
      </c>
      <c r="P18" s="13">
        <f>N18*O18</f>
      </c>
      <c r="Q18" s="10">
        <v>0</v>
      </c>
      <c r="R18" s="10">
        <f>Q18*M18</f>
      </c>
      <c r="S18" s="13">
        <f>Q18*N18*12</f>
      </c>
      <c r="T18" s="13">
        <f>K18+L18+P18+S18</f>
      </c>
      <c r="U18" s="16" t="s">
        <v>273</v>
      </c>
    </row>
    <row r="19" spans="1:21" x14ac:dyDescent="0.25">
      <c r="A19" s="10">
        <v>15</v>
      </c>
      <c r="B19" s="16" t="s">
        <v>274</v>
      </c>
      <c r="C19" s="16" t="s">
        <v>275</v>
      </c>
      <c r="D19" s="10" t="s">
        <v>31</v>
      </c>
      <c r="E19" s="10" t="s">
        <v>70</v>
      </c>
      <c r="F19" s="10" t="s">
        <v>272</v>
      </c>
      <c r="G19" s="10" t="s">
        <v>224</v>
      </c>
      <c r="H19" s="22">
        <v>3</v>
      </c>
      <c r="I19" s="10">
        <v>72</v>
      </c>
      <c r="J19" s="13">
        <v>176.83</v>
      </c>
      <c r="K19" s="13">
        <f>I19*J19</f>
      </c>
      <c r="L19" s="13">
        <f>K19*0.302</f>
      </c>
      <c r="M19" s="22">
        <v>0</v>
      </c>
      <c r="N19" s="10">
        <v>0</v>
      </c>
      <c r="O19" s="13">
        <v>0</v>
      </c>
      <c r="P19" s="13">
        <f>N19*O19</f>
      </c>
      <c r="Q19" s="10">
        <v>0</v>
      </c>
      <c r="R19" s="10">
        <f>Q19*M19</f>
      </c>
      <c r="S19" s="13">
        <f>Q19*N19*12</f>
      </c>
      <c r="T19" s="13">
        <f>K19+L19+P19+S19</f>
      </c>
      <c r="U19" s="16" t="s">
        <v>276</v>
      </c>
    </row>
    <row r="20" spans="1:21" x14ac:dyDescent="0.25">
      <c r="A20" s="10">
        <v>16</v>
      </c>
      <c r="B20" s="16" t="s">
        <v>277</v>
      </c>
      <c r="C20" s="16" t="s">
        <v>278</v>
      </c>
      <c r="D20" s="10" t="s">
        <v>31</v>
      </c>
      <c r="E20" s="10" t="s">
        <v>70</v>
      </c>
      <c r="F20" s="10" t="s">
        <v>279</v>
      </c>
      <c r="G20" s="10" t="s">
        <v>224</v>
      </c>
      <c r="H20" s="22">
        <v>1.2</v>
      </c>
      <c r="I20" s="10">
        <v>28.799999999999997</v>
      </c>
      <c r="J20" s="13">
        <v>176.83</v>
      </c>
      <c r="K20" s="13">
        <f>I20*J20</f>
      </c>
      <c r="L20" s="13">
        <f>K20*0.302</f>
      </c>
      <c r="M20" s="22">
        <v>0</v>
      </c>
      <c r="N20" s="10">
        <v>0</v>
      </c>
      <c r="O20" s="13">
        <v>0</v>
      </c>
      <c r="P20" s="13">
        <f>N20*O20</f>
      </c>
      <c r="Q20" s="10">
        <v>0</v>
      </c>
      <c r="R20" s="10">
        <f>Q20*M20</f>
      </c>
      <c r="S20" s="13">
        <f>Q20*N20*12</f>
      </c>
      <c r="T20" s="13">
        <f>K20+L20+P20+S20</f>
      </c>
      <c r="U20" s="16" t="s">
        <v>280</v>
      </c>
    </row>
    <row r="21" spans="1:21" x14ac:dyDescent="0.25">
      <c r="A21" s="10">
        <v>17</v>
      </c>
      <c r="B21" s="16" t="s">
        <v>281</v>
      </c>
      <c r="C21" s="16" t="s">
        <v>282</v>
      </c>
      <c r="D21" s="10" t="s">
        <v>74</v>
      </c>
      <c r="E21" s="10" t="s">
        <v>70</v>
      </c>
      <c r="F21" s="10" t="s">
        <v>237</v>
      </c>
      <c r="G21" s="10" t="s">
        <v>238</v>
      </c>
      <c r="H21" s="22">
        <v>7</v>
      </c>
      <c r="I21" s="10">
        <v>168</v>
      </c>
      <c r="J21" s="13">
        <v>176.83</v>
      </c>
      <c r="K21" s="13">
        <f>I21*J21</f>
      </c>
      <c r="L21" s="13">
        <f>K21*0.302</f>
      </c>
      <c r="M21" s="22">
        <v>2</v>
      </c>
      <c r="N21" s="10">
        <v>48</v>
      </c>
      <c r="O21" s="13">
        <v>4500</v>
      </c>
      <c r="P21" s="13">
        <f>N21*O21</f>
      </c>
      <c r="Q21" s="10">
        <v>10</v>
      </c>
      <c r="R21" s="10">
        <f>Q21*M21</f>
      </c>
      <c r="S21" s="13">
        <f>Q21*N21*12</f>
      </c>
      <c r="T21" s="13">
        <f>K21+L21+P21+S21</f>
      </c>
      <c r="U21" s="16" t="s">
        <v>283</v>
      </c>
    </row>
    <row r="22" spans="1:21" x14ac:dyDescent="0.25">
      <c r="A22" s="10">
        <v>18</v>
      </c>
      <c r="B22" s="16" t="s">
        <v>284</v>
      </c>
      <c r="C22" s="16" t="s">
        <v>285</v>
      </c>
      <c r="D22" s="10" t="s">
        <v>31</v>
      </c>
      <c r="E22" s="10" t="s">
        <v>64</v>
      </c>
      <c r="F22" s="10" t="s">
        <v>242</v>
      </c>
      <c r="G22" s="10" t="s">
        <v>224</v>
      </c>
      <c r="H22" s="22">
        <v>1.2</v>
      </c>
      <c r="I22" s="10">
        <v>28.799999999999997</v>
      </c>
      <c r="J22" s="13">
        <v>243.9</v>
      </c>
      <c r="K22" s="13">
        <f>I22*J22</f>
      </c>
      <c r="L22" s="13">
        <f>K22*0.302</f>
      </c>
      <c r="M22" s="22">
        <v>0</v>
      </c>
      <c r="N22" s="10">
        <v>0</v>
      </c>
      <c r="O22" s="13">
        <v>0</v>
      </c>
      <c r="P22" s="13">
        <f>N22*O22</f>
      </c>
      <c r="Q22" s="10">
        <v>0</v>
      </c>
      <c r="R22" s="10">
        <f>Q22*M22</f>
      </c>
      <c r="S22" s="13">
        <f>Q22*N22*12</f>
      </c>
      <c r="T22" s="13">
        <f>K22+L22+P22+S22</f>
      </c>
      <c r="U22" s="16" t="s">
        <v>286</v>
      </c>
    </row>
    <row r="23" spans="1:21" x14ac:dyDescent="0.25">
      <c r="A23" s="10">
        <v>19</v>
      </c>
      <c r="B23" s="16" t="s">
        <v>287</v>
      </c>
      <c r="C23" s="16" t="s">
        <v>288</v>
      </c>
      <c r="D23" s="10" t="s">
        <v>31</v>
      </c>
      <c r="E23" s="10" t="s">
        <v>70</v>
      </c>
      <c r="F23" s="10" t="s">
        <v>272</v>
      </c>
      <c r="G23" s="10" t="s">
        <v>224</v>
      </c>
      <c r="H23" s="22">
        <v>2.5</v>
      </c>
      <c r="I23" s="10">
        <v>60</v>
      </c>
      <c r="J23" s="13">
        <v>176.83</v>
      </c>
      <c r="K23" s="13">
        <f>I23*J23</f>
      </c>
      <c r="L23" s="13">
        <f>K23*0.302</f>
      </c>
      <c r="M23" s="22">
        <v>0</v>
      </c>
      <c r="N23" s="10">
        <v>0</v>
      </c>
      <c r="O23" s="13">
        <v>0</v>
      </c>
      <c r="P23" s="13">
        <f>N23*O23</f>
      </c>
      <c r="Q23" s="10">
        <v>0</v>
      </c>
      <c r="R23" s="10">
        <f>Q23*M23</f>
      </c>
      <c r="S23" s="13">
        <f>Q23*N23*12</f>
      </c>
      <c r="T23" s="13">
        <f>K23+L23+P23+S23</f>
      </c>
      <c r="U23" s="16" t="s">
        <v>289</v>
      </c>
    </row>
    <row r="24" spans="1:21" x14ac:dyDescent="0.25">
      <c r="A24" s="10">
        <v>20</v>
      </c>
      <c r="B24" s="16" t="s">
        <v>290</v>
      </c>
      <c r="C24" s="16" t="s">
        <v>291</v>
      </c>
      <c r="D24" s="10" t="s">
        <v>31</v>
      </c>
      <c r="E24" s="10" t="s">
        <v>70</v>
      </c>
      <c r="F24" s="10" t="s">
        <v>292</v>
      </c>
      <c r="G24" s="10" t="s">
        <v>224</v>
      </c>
      <c r="H24" s="22">
        <v>1</v>
      </c>
      <c r="I24" s="10">
        <v>24</v>
      </c>
      <c r="J24" s="13">
        <v>176.83</v>
      </c>
      <c r="K24" s="13">
        <f>I24*J24</f>
      </c>
      <c r="L24" s="13">
        <f>K24*0.302</f>
      </c>
      <c r="M24" s="22">
        <v>0</v>
      </c>
      <c r="N24" s="10">
        <v>0</v>
      </c>
      <c r="O24" s="13">
        <v>0</v>
      </c>
      <c r="P24" s="13">
        <f>N24*O24</f>
      </c>
      <c r="Q24" s="10">
        <v>0</v>
      </c>
      <c r="R24" s="10">
        <f>Q24*M24</f>
      </c>
      <c r="S24" s="13">
        <f>Q24*N24*12</f>
      </c>
      <c r="T24" s="13">
        <f>K24+L24+P24+S24</f>
      </c>
      <c r="U24" s="16" t="s">
        <v>293</v>
      </c>
    </row>
    <row r="25" spans="1:21" x14ac:dyDescent="0.25">
      <c r="A25" s="10">
        <v>21</v>
      </c>
      <c r="B25" s="16" t="s">
        <v>294</v>
      </c>
      <c r="C25" s="16" t="s">
        <v>295</v>
      </c>
      <c r="D25" s="10" t="s">
        <v>77</v>
      </c>
      <c r="E25" s="10" t="s">
        <v>70</v>
      </c>
      <c r="F25" s="10" t="s">
        <v>237</v>
      </c>
      <c r="G25" s="10" t="s">
        <v>238</v>
      </c>
      <c r="H25" s="22">
        <v>4</v>
      </c>
      <c r="I25" s="10">
        <v>96</v>
      </c>
      <c r="J25" s="13">
        <v>176.83</v>
      </c>
      <c r="K25" s="13">
        <f>I25*J25</f>
      </c>
      <c r="L25" s="13">
        <f>K25*0.302</f>
      </c>
      <c r="M25" s="22">
        <v>2.5</v>
      </c>
      <c r="N25" s="10">
        <v>60</v>
      </c>
      <c r="O25" s="13">
        <v>6000</v>
      </c>
      <c r="P25" s="13">
        <f>N25*O25</f>
      </c>
      <c r="Q25" s="10">
        <v>15</v>
      </c>
      <c r="R25" s="10">
        <f>Q25*M25</f>
      </c>
      <c r="S25" s="13">
        <f>Q25*N25*12</f>
      </c>
      <c r="T25" s="13">
        <f>K25+L25+P25+S25</f>
      </c>
      <c r="U25" s="16" t="s">
        <v>296</v>
      </c>
    </row>
    <row r="26" spans="1:21" x14ac:dyDescent="0.25">
      <c r="A26" s="10">
        <v>22</v>
      </c>
      <c r="B26" s="16" t="s">
        <v>297</v>
      </c>
      <c r="C26" s="16" t="s">
        <v>298</v>
      </c>
      <c r="D26" s="10" t="s">
        <v>31</v>
      </c>
      <c r="E26" s="10" t="s">
        <v>70</v>
      </c>
      <c r="F26" s="10" t="s">
        <v>272</v>
      </c>
      <c r="G26" s="10" t="s">
        <v>224</v>
      </c>
      <c r="H26" s="22">
        <v>2.5</v>
      </c>
      <c r="I26" s="10">
        <v>60</v>
      </c>
      <c r="J26" s="13">
        <v>176.83</v>
      </c>
      <c r="K26" s="13">
        <f>I26*J26</f>
      </c>
      <c r="L26" s="13">
        <f>K26*0.302</f>
      </c>
      <c r="M26" s="22">
        <v>0</v>
      </c>
      <c r="N26" s="10">
        <v>0</v>
      </c>
      <c r="O26" s="13">
        <v>0</v>
      </c>
      <c r="P26" s="13">
        <f>N26*O26</f>
      </c>
      <c r="Q26" s="10">
        <v>0</v>
      </c>
      <c r="R26" s="10">
        <f>Q26*M26</f>
      </c>
      <c r="S26" s="13">
        <f>Q26*N26*12</f>
      </c>
      <c r="T26" s="13">
        <f>K26+L26+P26+S26</f>
      </c>
      <c r="U26" s="16" t="s">
        <v>299</v>
      </c>
    </row>
    <row r="27" spans="1:21" x14ac:dyDescent="0.25">
      <c r="A27" s="10">
        <v>23</v>
      </c>
      <c r="B27" s="16" t="s">
        <v>300</v>
      </c>
      <c r="C27" s="16" t="s">
        <v>301</v>
      </c>
      <c r="D27" s="10" t="s">
        <v>31</v>
      </c>
      <c r="E27" s="10" t="s">
        <v>70</v>
      </c>
      <c r="F27" s="10" t="s">
        <v>292</v>
      </c>
      <c r="G27" s="10" t="s">
        <v>224</v>
      </c>
      <c r="H27" s="22">
        <v>1</v>
      </c>
      <c r="I27" s="10">
        <v>24</v>
      </c>
      <c r="J27" s="13">
        <v>176.83</v>
      </c>
      <c r="K27" s="13">
        <f>I27*J27</f>
      </c>
      <c r="L27" s="13">
        <f>K27*0.302</f>
      </c>
      <c r="M27" s="22">
        <v>0</v>
      </c>
      <c r="N27" s="10">
        <v>0</v>
      </c>
      <c r="O27" s="13">
        <v>0</v>
      </c>
      <c r="P27" s="13">
        <f>N27*O27</f>
      </c>
      <c r="Q27" s="10">
        <v>0</v>
      </c>
      <c r="R27" s="10">
        <f>Q27*M27</f>
      </c>
      <c r="S27" s="13">
        <f>Q27*N27*12</f>
      </c>
      <c r="T27" s="13">
        <f>K27+L27+P27+S27</f>
      </c>
      <c r="U27" s="16" t="s">
        <v>302</v>
      </c>
    </row>
    <row r="28" spans="1:21" x14ac:dyDescent="0.25">
      <c r="A28" s="10">
        <v>24</v>
      </c>
      <c r="B28" s="16" t="s">
        <v>303</v>
      </c>
      <c r="C28" s="16" t="s">
        <v>304</v>
      </c>
      <c r="D28" s="10" t="s">
        <v>31</v>
      </c>
      <c r="E28" s="10" t="s">
        <v>64</v>
      </c>
      <c r="F28" s="10" t="s">
        <v>242</v>
      </c>
      <c r="G28" s="10" t="s">
        <v>224</v>
      </c>
      <c r="H28" s="22">
        <v>2</v>
      </c>
      <c r="I28" s="10">
        <v>48</v>
      </c>
      <c r="J28" s="13">
        <v>243.9</v>
      </c>
      <c r="K28" s="13">
        <f>I28*J28</f>
      </c>
      <c r="L28" s="13">
        <f>K28*0.302</f>
      </c>
      <c r="M28" s="22">
        <v>0</v>
      </c>
      <c r="N28" s="10">
        <v>0</v>
      </c>
      <c r="O28" s="13">
        <v>0</v>
      </c>
      <c r="P28" s="13">
        <f>N28*O28</f>
      </c>
      <c r="Q28" s="10">
        <v>0</v>
      </c>
      <c r="R28" s="10">
        <f>Q28*M28</f>
      </c>
      <c r="S28" s="13">
        <f>Q28*N28*12</f>
      </c>
      <c r="T28" s="13">
        <f>K28+L28+P28+S28</f>
      </c>
      <c r="U28" s="16" t="s">
        <v>305</v>
      </c>
    </row>
    <row r="29" spans="1:21" x14ac:dyDescent="0.25">
      <c r="A29" s="10">
        <v>25</v>
      </c>
      <c r="B29" s="16" t="s">
        <v>306</v>
      </c>
      <c r="C29" s="16" t="s">
        <v>307</v>
      </c>
      <c r="D29" s="10" t="s">
        <v>31</v>
      </c>
      <c r="E29" s="10" t="s">
        <v>64</v>
      </c>
      <c r="F29" s="10" t="s">
        <v>308</v>
      </c>
      <c r="G29" s="10" t="s">
        <v>224</v>
      </c>
      <c r="H29" s="22">
        <v>1</v>
      </c>
      <c r="I29" s="10">
        <v>24</v>
      </c>
      <c r="J29" s="13">
        <v>243.9</v>
      </c>
      <c r="K29" s="13">
        <f>I29*J29</f>
      </c>
      <c r="L29" s="13">
        <f>K29*0.302</f>
      </c>
      <c r="M29" s="22">
        <v>0</v>
      </c>
      <c r="N29" s="10">
        <v>0</v>
      </c>
      <c r="O29" s="13">
        <v>0</v>
      </c>
      <c r="P29" s="13">
        <f>N29*O29</f>
      </c>
      <c r="Q29" s="10">
        <v>0</v>
      </c>
      <c r="R29" s="10">
        <f>Q29*M29</f>
      </c>
      <c r="S29" s="13">
        <f>Q29*N29*12</f>
      </c>
      <c r="T29" s="13">
        <f>K29+L29+P29+S29</f>
      </c>
      <c r="U29" s="16" t="s">
        <v>309</v>
      </c>
    </row>
    <row r="30" spans="1:21" x14ac:dyDescent="0.25">
      <c r="A30" s="10">
        <v>26</v>
      </c>
      <c r="B30" s="16" t="s">
        <v>310</v>
      </c>
      <c r="C30" s="16" t="s">
        <v>311</v>
      </c>
      <c r="D30" s="10" t="s">
        <v>31</v>
      </c>
      <c r="E30" s="10" t="s">
        <v>76</v>
      </c>
      <c r="F30" s="10" t="s">
        <v>312</v>
      </c>
      <c r="G30" s="10" t="s">
        <v>224</v>
      </c>
      <c r="H30" s="22">
        <v>4.5</v>
      </c>
      <c r="I30" s="10">
        <v>108</v>
      </c>
      <c r="J30" s="13">
        <v>152.44</v>
      </c>
      <c r="K30" s="13">
        <f>I30*J30</f>
      </c>
      <c r="L30" s="13">
        <f>K30*0.302</f>
      </c>
      <c r="M30" s="22">
        <v>0</v>
      </c>
      <c r="N30" s="10">
        <v>0</v>
      </c>
      <c r="O30" s="13">
        <v>0</v>
      </c>
      <c r="P30" s="13">
        <f>N30*O30</f>
      </c>
      <c r="Q30" s="10">
        <v>0</v>
      </c>
      <c r="R30" s="10">
        <f>Q30*M30</f>
      </c>
      <c r="S30" s="13">
        <f>Q30*N30*12</f>
      </c>
      <c r="T30" s="13">
        <f>K30+L30+P30+S30</f>
      </c>
      <c r="U30" s="16" t="s">
        <v>313</v>
      </c>
    </row>
    <row r="31" spans="1:21" x14ac:dyDescent="0.25">
      <c r="A31" s="10">
        <v>27</v>
      </c>
      <c r="B31" s="16" t="s">
        <v>314</v>
      </c>
      <c r="C31" s="16" t="s">
        <v>315</v>
      </c>
      <c r="D31" s="10" t="s">
        <v>80</v>
      </c>
      <c r="E31" s="10" t="s">
        <v>76</v>
      </c>
      <c r="F31" s="10" t="s">
        <v>316</v>
      </c>
      <c r="G31" s="10" t="s">
        <v>219</v>
      </c>
      <c r="H31" s="22">
        <v>3</v>
      </c>
      <c r="I31" s="10">
        <v>72</v>
      </c>
      <c r="J31" s="13">
        <v>152.44</v>
      </c>
      <c r="K31" s="13">
        <f>I31*J31</f>
      </c>
      <c r="L31" s="13">
        <f>K31*0.302</f>
      </c>
      <c r="M31" s="22">
        <v>0.6</v>
      </c>
      <c r="N31" s="10">
        <v>14.399999999999999</v>
      </c>
      <c r="O31" s="13">
        <v>2000</v>
      </c>
      <c r="P31" s="13">
        <f>N31*O31</f>
      </c>
      <c r="Q31" s="10">
        <v>5</v>
      </c>
      <c r="R31" s="10">
        <f>Q31*M31</f>
      </c>
      <c r="S31" s="13">
        <f>Q31*N31*12</f>
      </c>
      <c r="T31" s="13">
        <f>K31+L31+P31+S31</f>
      </c>
      <c r="U31" s="16" t="s">
        <v>317</v>
      </c>
    </row>
    <row r="32" spans="1:21" x14ac:dyDescent="0.25">
      <c r="A32" s="10">
        <v>28</v>
      </c>
      <c r="B32" s="16" t="s">
        <v>318</v>
      </c>
      <c r="C32" s="16" t="s">
        <v>319</v>
      </c>
      <c r="D32" s="10" t="s">
        <v>80</v>
      </c>
      <c r="E32" s="10" t="s">
        <v>76</v>
      </c>
      <c r="F32" s="10" t="s">
        <v>320</v>
      </c>
      <c r="G32" s="10" t="s">
        <v>233</v>
      </c>
      <c r="H32" s="22">
        <v>1.8</v>
      </c>
      <c r="I32" s="10">
        <v>43.2</v>
      </c>
      <c r="J32" s="13">
        <v>152.44</v>
      </c>
      <c r="K32" s="13">
        <f>I32*J32</f>
      </c>
      <c r="L32" s="13">
        <f>K32*0.302</f>
      </c>
      <c r="M32" s="22">
        <v>0.6</v>
      </c>
      <c r="N32" s="10">
        <v>14.399999999999999</v>
      </c>
      <c r="O32" s="13">
        <v>2000</v>
      </c>
      <c r="P32" s="13">
        <f>N32*O32</f>
      </c>
      <c r="Q32" s="10">
        <v>5</v>
      </c>
      <c r="R32" s="10">
        <f>Q32*M32</f>
      </c>
      <c r="S32" s="13">
        <f>Q32*N32*12</f>
      </c>
      <c r="T32" s="13">
        <f>K32+L32+P32+S32</f>
      </c>
      <c r="U32" s="16" t="s">
        <v>321</v>
      </c>
    </row>
    <row r="34" spans="2:20" x14ac:dyDescent="0.25">
      <c r="B34" s="3" t="s">
        <v>322</v>
      </c>
      <c r="G34" t="s">
        <v>224</v>
      </c>
      <c r="H34" s="20">
        <f>SUM(H5:H32)</f>
      </c>
      <c r="I34" s="20">
        <f>SUM(I5:I32)</f>
      </c>
      <c r="J34" t="s">
        <v>224</v>
      </c>
      <c r="K34" s="20">
        <f>SUM(K5:K32)</f>
      </c>
      <c r="L34" s="20">
        <f>SUM(L5:L32)</f>
      </c>
      <c r="N34" s="20">
        <f>SUM(N5:N32)</f>
      </c>
      <c r="P34" s="20">
        <f>SUM(P5:P32)</f>
      </c>
      <c r="S34" s="20">
        <f>SUM(S5:S32)</f>
      </c>
      <c r="T34" s="20">
        <f>SUM(T5:T32)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" x14ac:dyDescent="0.25">
      <c r="A1" s="2" t="s">
        <v>323</v>
      </c>
    </row>
    <row r="2" spans="1:1" x14ac:dyDescent="0.25">
      <c r="A2" t="s">
        <v>324</v>
      </c>
    </row>
    <row r="4" spans="1:3" x14ac:dyDescent="0.25">
      <c r="A4" s="23" t="s">
        <v>325</v>
      </c>
      <c r="B4" s="23" t="s">
        <v>103</v>
      </c>
      <c r="C4" s="23" t="s">
        <v>326</v>
      </c>
    </row>
    <row r="5" spans="1:3" x14ac:dyDescent="0.25">
      <c r="A5" s="10" t="s">
        <v>327</v>
      </c>
      <c r="B5" s="13">
        <v>2609353.04</v>
      </c>
      <c r="C5" s="10" t="s">
        <v>328</v>
      </c>
    </row>
    <row r="6" spans="1:3" x14ac:dyDescent="0.25">
      <c r="A6" s="10" t="s">
        <v>329</v>
      </c>
      <c r="B6" s="13">
        <v>2925713.7505920003</v>
      </c>
      <c r="C6" s="10" t="s">
        <v>330</v>
      </c>
    </row>
    <row r="7" spans="1:3" x14ac:dyDescent="0.25">
      <c r="A7" s="10" t="s">
        <v>331</v>
      </c>
      <c r="B7" s="13">
        <v>396449.750592</v>
      </c>
      <c r="C7" s="10" t="s">
        <v>332</v>
      </c>
    </row>
    <row r="8" spans="1:3" x14ac:dyDescent="0.25">
      <c r="A8" s="10" t="s">
        <v>333</v>
      </c>
      <c r="B8" s="13">
        <v>685858.0685241601</v>
      </c>
      <c r="C8" s="10" t="s">
        <v>334</v>
      </c>
    </row>
    <row r="9" spans="1:3" x14ac:dyDescent="0.25">
      <c r="A9" s="10" t="s">
        <v>335</v>
      </c>
      <c r="B9" s="13">
        <v>6220924.85911616</v>
      </c>
      <c r="C9" s="10" t="s">
        <v>336</v>
      </c>
    </row>
    <row r="10" spans="1:3" x14ac:dyDescent="0.25">
      <c r="A10" s="10" t="s">
        <v>337</v>
      </c>
      <c r="B10" s="13">
        <v>497673.9887292928</v>
      </c>
      <c r="C10" s="10" t="s">
        <v>338</v>
      </c>
    </row>
    <row r="11" spans="1:3" x14ac:dyDescent="0.25">
      <c r="A11" s="10" t="s">
        <v>339</v>
      </c>
      <c r="B11" s="13">
        <v>6718598.847845453</v>
      </c>
      <c r="C11" s="10" t="s">
        <v>31</v>
      </c>
    </row>
    <row r="12" spans="1:3" x14ac:dyDescent="0.25">
      <c r="A12" s="10" t="s">
        <v>340</v>
      </c>
      <c r="B12" s="13">
        <v>2284323.608267454</v>
      </c>
      <c r="C12" s="10" t="s">
        <v>341</v>
      </c>
    </row>
    <row r="13" spans="1:3" x14ac:dyDescent="0.25">
      <c r="A13" s="24" t="s">
        <v>342</v>
      </c>
      <c r="B13" s="20">
        <v>9002922.456112906</v>
      </c>
      <c r="C13" s="10" t="s">
        <v>343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" x14ac:dyDescent="0.25">
      <c r="A1" s="2" t="s">
        <v>344</v>
      </c>
    </row>
    <row r="2" spans="1:1" x14ac:dyDescent="0.25">
      <c r="A2" t="s">
        <v>345</v>
      </c>
    </row>
    <row r="4" spans="1:3" x14ac:dyDescent="0.25">
      <c r="A4" s="23" t="s">
        <v>102</v>
      </c>
      <c r="B4" s="23" t="s">
        <v>103</v>
      </c>
      <c r="C4" s="23" t="s">
        <v>346</v>
      </c>
    </row>
    <row r="5" spans="1:3" x14ac:dyDescent="0.25">
      <c r="A5" s="10" t="s">
        <v>347</v>
      </c>
      <c r="B5" s="18">
        <v>940</v>
      </c>
      <c r="C5" s="10" t="s">
        <v>348</v>
      </c>
    </row>
    <row r="6" spans="1:3" x14ac:dyDescent="0.25">
      <c r="A6" s="10" t="s">
        <v>349</v>
      </c>
      <c r="B6" s="22">
        <v>1</v>
      </c>
      <c r="C6" s="10" t="s">
        <v>350</v>
      </c>
    </row>
    <row r="7" spans="1:3" x14ac:dyDescent="0.25">
      <c r="A7" s="10" t="s">
        <v>351</v>
      </c>
      <c r="B7" s="18">
        <v>120</v>
      </c>
      <c r="C7" s="10" t="s">
        <v>352</v>
      </c>
    </row>
    <row r="8" spans="1:3" x14ac:dyDescent="0.25">
      <c r="A8" s="10" t="s">
        <v>353</v>
      </c>
      <c r="B8" s="18">
        <v>25000</v>
      </c>
      <c r="C8" s="10" t="s">
        <v>354</v>
      </c>
    </row>
    <row r="9" spans="1:3" x14ac:dyDescent="0.25">
      <c r="A9" s="10" t="s">
        <v>355</v>
      </c>
      <c r="B9" s="18">
        <v>35000</v>
      </c>
      <c r="C9" s="10" t="s">
        <v>356</v>
      </c>
    </row>
    <row r="10" spans="1:3" x14ac:dyDescent="0.25">
      <c r="A10" s="10" t="s">
        <v>357</v>
      </c>
      <c r="B10" s="22">
        <v>0.005</v>
      </c>
      <c r="C10" s="10" t="s">
        <v>358</v>
      </c>
    </row>
    <row r="12" spans="1:3" x14ac:dyDescent="0.25">
      <c r="A12" s="10" t="s">
        <v>359</v>
      </c>
      <c r="B12" s="13">
        <f>B5*B7*B6</f>
      </c>
      <c r="C12" s="10" t="s">
        <v>360</v>
      </c>
    </row>
    <row r="13" spans="1:3" x14ac:dyDescent="0.25">
      <c r="A13" s="10" t="s">
        <v>361</v>
      </c>
      <c r="B13" s="13">
        <f>B8</f>
      </c>
      <c r="C13" s="10" t="s">
        <v>31</v>
      </c>
    </row>
    <row r="14" spans="1:3" x14ac:dyDescent="0.25">
      <c r="A14" s="10" t="s">
        <v>362</v>
      </c>
      <c r="B14" s="13">
        <f>B9</f>
      </c>
      <c r="C14" s="10" t="s">
        <v>31</v>
      </c>
    </row>
    <row r="15" spans="1:3" x14ac:dyDescent="0.25">
      <c r="A15" s="10" t="s">
        <v>363</v>
      </c>
      <c r="B15" s="13">
        <v>45014.612280564535</v>
      </c>
      <c r="C15" s="10" t="s">
        <v>364</v>
      </c>
    </row>
    <row r="16" spans="1:3" x14ac:dyDescent="0.25">
      <c r="A16" s="24" t="s">
        <v>365</v>
      </c>
      <c r="B16" s="20">
        <f>B12+B13+B14+B15</f>
      </c>
      <c r="C16" s="10" t="s">
        <v>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" x14ac:dyDescent="0.25">
      <c r="A1" s="2" t="s">
        <v>367</v>
      </c>
    </row>
    <row r="2" spans="1:1" x14ac:dyDescent="0.25">
      <c r="A2" t="s">
        <v>368</v>
      </c>
    </row>
    <row r="4" spans="1:3" x14ac:dyDescent="0.25">
      <c r="A4" s="23" t="s">
        <v>325</v>
      </c>
      <c r="B4" s="23" t="s">
        <v>369</v>
      </c>
      <c r="C4" s="23" t="s">
        <v>104</v>
      </c>
    </row>
    <row r="5" spans="1:3" x14ac:dyDescent="0.25">
      <c r="A5" s="10" t="s">
        <v>370</v>
      </c>
      <c r="B5" s="13">
        <v>2609353.04</v>
      </c>
      <c r="C5" s="10" t="s">
        <v>31</v>
      </c>
    </row>
    <row r="6" spans="1:3" x14ac:dyDescent="0.25">
      <c r="A6" s="10" t="s">
        <v>371</v>
      </c>
      <c r="B6" s="13">
        <v>2925713.7505920003</v>
      </c>
      <c r="C6" s="10" t="s">
        <v>31</v>
      </c>
    </row>
    <row r="7" spans="1:3" x14ac:dyDescent="0.25">
      <c r="A7" s="10" t="s">
        <v>372</v>
      </c>
      <c r="B7" s="13">
        <v>685858.0685241601</v>
      </c>
      <c r="C7" s="10" t="s">
        <v>31</v>
      </c>
    </row>
    <row r="8" spans="1:3" x14ac:dyDescent="0.25">
      <c r="A8" s="10" t="s">
        <v>373</v>
      </c>
      <c r="B8" s="13">
        <v>497673.9887292928</v>
      </c>
      <c r="C8" s="10" t="s">
        <v>31</v>
      </c>
    </row>
    <row r="9" spans="1:3" x14ac:dyDescent="0.25">
      <c r="A9" s="10" t="s">
        <v>374</v>
      </c>
      <c r="B9" s="13">
        <v>2284323.608267454</v>
      </c>
      <c r="C9" s="10" t="s">
        <v>31</v>
      </c>
    </row>
    <row r="10" spans="1:3" x14ac:dyDescent="0.25">
      <c r="A10" s="10" t="s">
        <v>375</v>
      </c>
      <c r="B10" s="13">
        <v>9002922.456112906</v>
      </c>
      <c r="C10" s="10" t="s">
        <v>31</v>
      </c>
    </row>
    <row r="11" spans="1:3" x14ac:dyDescent="0.25">
      <c r="A11" s="10" t="s">
        <v>376</v>
      </c>
      <c r="B11" s="13">
        <v>217814.61228056453</v>
      </c>
      <c r="C11" s="10" t="s">
        <v>31</v>
      </c>
    </row>
    <row r="12" spans="1:3" x14ac:dyDescent="0.25">
      <c r="A12" s="10" t="s">
        <v>377</v>
      </c>
      <c r="B12" s="13">
        <v>9220737.06839347</v>
      </c>
      <c r="C12" s="10" t="s">
        <v>31</v>
      </c>
    </row>
    <row r="13" spans="1:3" x14ac:dyDescent="0.25">
      <c r="A13" s="24" t="s">
        <v>378</v>
      </c>
      <c r="B13" s="20">
        <v>1844147.4136786943</v>
      </c>
      <c r="C13" s="10" t="s">
        <v>31</v>
      </c>
    </row>
    <row r="14" spans="1:3" x14ac:dyDescent="0.25">
      <c r="A14" s="25" t="s">
        <v>379</v>
      </c>
      <c r="B14" s="26">
        <v>11064884.482072165</v>
      </c>
      <c r="C14" s="10" t="s">
        <v>31</v>
      </c>
    </row>
    <row r="15" spans="1:3" x14ac:dyDescent="0.25">
      <c r="A15" s="10" t="s">
        <v>380</v>
      </c>
      <c r="B15" s="13">
        <v>384197.3778497279</v>
      </c>
      <c r="C15" s="10" t="s">
        <v>31</v>
      </c>
    </row>
    <row r="16" spans="1:3" x14ac:dyDescent="0.25">
      <c r="A16" s="10" t="s">
        <v>381</v>
      </c>
      <c r="B16" s="13">
        <v>461036.8534196736</v>
      </c>
      <c r="C16" s="10" t="s">
        <v>31</v>
      </c>
    </row>
    <row r="17" spans="1:3" x14ac:dyDescent="0.25">
      <c r="A17" s="24" t="s">
        <v>382</v>
      </c>
      <c r="B17" s="20">
        <v>394048.5926663876</v>
      </c>
      <c r="C17" s="10" t="s">
        <v>383</v>
      </c>
    </row>
    <row r="18" spans="1:3" x14ac:dyDescent="0.25">
      <c r="A18" s="24" t="s">
        <v>384</v>
      </c>
      <c r="B18" s="20">
        <v>472858.3111996651</v>
      </c>
      <c r="C18" s="10" t="s">
        <v>383</v>
      </c>
    </row>
    <row r="19" spans="1:3" x14ac:dyDescent="0.25">
      <c r="A19" s="10" t="s">
        <v>385</v>
      </c>
      <c r="B19" s="13">
        <v>153678.95113989117</v>
      </c>
      <c r="C19" s="10" t="s">
        <v>386</v>
      </c>
    </row>
    <row r="20" spans="1:3" x14ac:dyDescent="0.25">
      <c r="A20" s="10" t="s">
        <v>387</v>
      </c>
      <c r="B20" s="13">
        <v>184414.74136786943</v>
      </c>
      <c r="C20" s="10" t="s">
        <v>386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388</v>
      </c>
    </row>
    <row r="3" spans="1:4" x14ac:dyDescent="0.25">
      <c r="A3" s="3" t="s">
        <v>86</v>
      </c>
      <c r="B3" s="3" t="s">
        <v>89</v>
      </c>
      <c r="C3" s="3" t="s">
        <v>389</v>
      </c>
      <c r="D3" s="3" t="s">
        <v>390</v>
      </c>
    </row>
    <row r="4" spans="1:4" x14ac:dyDescent="0.25">
      <c r="A4" t="s">
        <v>87</v>
      </c>
      <c r="B4" t="s">
        <v>90</v>
      </c>
      <c r="C4" t="s">
        <v>391</v>
      </c>
      <c r="D4" t="s">
        <v>392</v>
      </c>
    </row>
    <row r="5" spans="1:4" x14ac:dyDescent="0.25">
      <c r="A5" t="s">
        <v>393</v>
      </c>
      <c r="B5" t="s">
        <v>394</v>
      </c>
      <c r="C5" t="s">
        <v>395</v>
      </c>
      <c r="D5" t="s">
        <v>396</v>
      </c>
    </row>
    <row r="6" spans="1:4" x14ac:dyDescent="0.25">
      <c r="A6" t="s">
        <v>397</v>
      </c>
      <c r="B6" t="s">
        <v>398</v>
      </c>
      <c r="C6" t="s">
        <v>399</v>
      </c>
      <c r="D6" t="s">
        <v>400</v>
      </c>
    </row>
    <row r="7" spans="1:4" x14ac:dyDescent="0.25">
      <c r="A7" t="s">
        <v>401</v>
      </c>
      <c r="C7" t="s">
        <v>402</v>
      </c>
      <c r="D7" t="s">
        <v>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2026-04-05T13:19:47Z</dcterms:created>
  <dcterms:modified xsi:type="dcterms:W3CDTF">2026-04-05T13:19:47Z</dcterms:modified>
</cp:coreProperties>
</file>
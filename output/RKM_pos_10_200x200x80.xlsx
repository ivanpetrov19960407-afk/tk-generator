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<sst xmlns="http://schemas.openxmlformats.org/spreadsheetml/2006/main" count="557" uniqueCount="404">
  <si>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</si>
  <si>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</si>
  <si>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</si>
  <si>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Натуральный камень "Габбро-диабаз" (брусчатка) бучардированный, габаритные размеры 200х200х80, калибровка по четырем сторонам 200, со шлифовкой по всем четырем сторонам и ручной доработкой поверхносте,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габбро-диабаз месторождения "Габбро-диабаз_Нинимяки"; обработка поверхности — бучардирование_лощение; размеры 200×200×80мм (возможная подрезка изделия по месту под фактическую установку)</t>
  </si>
  <si>
    <t>Материал:</t>
  </si>
  <si>
    <t xml:space="preserve">Габбро-диабаз месторождения "Габбро-диабаз_Нинимяки" </t>
  </si>
  <si>
    <t>Размеры, мм:</t>
  </si>
  <si>
    <t>200 × 200 × 80</t>
  </si>
  <si>
    <t>Количество:</t>
  </si>
  <si>
    <t>9900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</si>
  <si>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</si>
  <si>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</si>
  <si>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</si>
  <si>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</si>
  <si>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</si>
  <si>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</si>
  <si>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</si>
  <si>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</si>
  <si>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</si>
  <si>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</si>
  <si>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</si>
  <si>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</si>
  <si>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</si>
  <si>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</si>
  <si>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</si>
  <si>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</si>
  <si>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</si>
  <si>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</si>
  <si>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</si>
  <si>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</si>
  <si>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</si>
  <si>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</si>
  <si>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</si>
  <si>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</si>
  <si>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</si>
  <si>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</si>
  <si>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</si>
  <si>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</si>
  <si>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</si>
  <si>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</si>
  <si>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</si>
  <si>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</si>
  <si>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</si>
  <si>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</si>
  <si>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</si>
  <si>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</si>
  <si>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</si>
  <si>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</si>
  <si>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</si>
  <si>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</si>
  <si>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</si>
  <si>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</si>
  <si>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</si>
  <si>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</si>
  <si>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</si>
  <si>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</si>
  <si>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</si>
  <si>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</si>
  <si>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</si>
  <si>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</si>
  <si>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</si>
  <si>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</si>
  <si>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</si>
  <si>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</si>
  <si>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</si>
  <si>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</si>
  <si>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</si>
  <si>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</si>
  <si>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</si>
  <si>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</si>
  <si>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</si>
  <si>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</si>
  <si>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</si>
  <si>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</si>
  <si>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</si>
  <si>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</si>
  <si>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</si>
  <si>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</si>
  <si>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</si>
  <si>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</si>
  <si>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</si>
  <si>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</si>
  <si>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</si>
  <si>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</si>
  <si>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</si>
  <si>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</si>
  <si>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</si>
  <si>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</si>
  <si>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</si>
  <si>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</si>
  <si>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</si>
  <si>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</si>
  <si>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</si>
  <si>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</si>
  <si>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</si>
  <si>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</si>
  <si>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</si>
  <si>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</si>
  <si>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</si>
  <si>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</si>
  <si>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</si>
  <si>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200×200×80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</si>
  <si>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</si>
  <si>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</si>
  <si>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</si>
  <si>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</si>
  <si>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</si>
  <si>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</si>
  <si>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</si>
  <si>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</si>
  <si>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</si>
  <si>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</si>
  <si>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</si>
  <si>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</si>
  <si>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</si>
  <si>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</si>
  <si>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</si>
  <si>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</si>
  <si>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</si>
  <si>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</si>
  <si>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</si>
  <si>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</si>
  <si>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</si>
  <si>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</si>
  <si>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</si>
  <si>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</si>
  <si>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</si>
  <si>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</si>
  <si>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</si>
  <si>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</si>
  <si>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</si>
  <si>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</si>
  <si>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</si>
  <si>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</si>
  <si>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</si>
  <si>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</si>
  <si>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</si>
  <si>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</si>
  <si>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</si>
  <si>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</si>
  <si>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</si>
  <si>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</si>
  <si>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</si>
  <si>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</si>
  <si>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</si>
  <si>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</si>
  <si>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</si>
  <si>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</si>
  <si>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</si>
  <si>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</si>
  <si>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</si>
  <si>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</si>
  <si>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</si>
  <si>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</si>
  <si>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</si>
  <si>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"Габбро-диабаз_Нинимяки"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</si>
  <si>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</si>
  <si>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</si>
  <si>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</si>
  <si>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</si>
  <si>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</si>
  <si>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</si>
  <si>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</si>
  <si>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</si>
  <si>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</si>
  <si>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</si>
  <si>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</si>
  <si>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</si>
  <si>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</si>
  <si>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</si>
  <si>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</si>
  <si>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</si>
  <si>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</si>
  <si>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</si>
  <si>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</si>
  <si>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</si>
  <si>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</si>
  <si>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9900 компл на 9900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</si>
  <si>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</si>
  <si>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</si>
  <si>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</si>
  <si>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</si>
  <si>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</si>
  <si>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</si>
  <si>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</si>
  <si>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</si>
  <si>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</si>
  <si>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</si>
  <si>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</si>
  <si>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</si>
  <si>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</si>
  <si>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</si>
  <si>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</si>
  <si>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</si>
  <si>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</si>
  <si>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</si>
  <si>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</si>
  <si>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</si>
  <si>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</si>
  <si>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</si>
  <si>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</si>
  <si>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</si>
  <si>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</si>
  <si>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</si>
  <si>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</si>
  <si>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</si>
  <si>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</si>
  <si>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</si>
  <si>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</si>
  <si>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</si>
  <si>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</si>
  <si>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</si>
  <si>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</si>
  <si>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</si>
  <si>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</si>
  <si>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</si>
  <si>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</si>
  <si>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</si>
  <si>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</si>
  <si>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</si>
  <si>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</si>
  <si>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</si>
  <si>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</si>
  <si>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</si>
  <si>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</si>
  <si>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</si>
  <si>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</si>
  <si>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</si>
  <si>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</si>
  <si>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</si>
  <si>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</si>
  <si>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</si>
  <si>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</si>
  <si>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</si>
  <si>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</si>
  <si>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</si>
  <si>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</si>
  <si>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</si>
  <si>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</si>
  <si>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</si>
  <si>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</si>
  <si>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</si>
  <si>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</si>
  <si>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</si>
  <si>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</si>
  <si>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</si>
  <si>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</si>
  <si>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</si>
  <si>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</si>
  <si>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</si>
  <si>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</si>
  <si>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</si>
  <si>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</si>
  <si>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</si>
  <si>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</si>
  <si>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</si>
  <si>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</si>
  <si>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</si>
  <si>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</si>
  <si>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</si>
  <si>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</si>
  <si>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</si>
  <si>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</si>
  <si>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</si>
  <si>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</si>
  <si>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</si>
  <si>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</si>
  <si>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</si>
  <si>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</si>
  <si>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</si>
  <si>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</si>
  <si>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</si>
  <si>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</si>
  <si>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</si>
  <si>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</si>
  <si>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</si>
  <si>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</si>
  <si>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</si>
  <si>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</si>
  <si>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</si>
  <si>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</si>
  <si>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</si>
  <si>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</si>
  <si>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</si>
  <si>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</si>
  <si>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</si>
  <si>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</si>
  <si>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</si>
  <si>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</si>
  <si>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</si>
  <si>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</si>
  <si>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</si>
  <si>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</si>
  <si>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</si>
  <si>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</si>
  <si>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</si>
  <si>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</si>
  <si>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</si>
  <si>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</si>
  <si>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</si>
  <si>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</si>
  <si>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</si>
  <si>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</si>
  <si>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</si>
  <si>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</si>
  <si>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</si>
  <si>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</si>
  <si>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</si>
  <si>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</si>
  <si>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</si>
  <si>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</si>
  <si>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</si>
  <si>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</si>
  <si>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</si>
  <si>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</si>
  <si>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</si>
  <si>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</si>
  <si>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</si>
  <si>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</si>
  <si>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</si>
  <si>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</si>
  <si>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</si>
  <si>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</si>
  <si>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</si>
  <si>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</si>
  <si>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</si>
  <si>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</si>
  <si>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</si>
  <si>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</si>
  <si>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</si>
  <si>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</si>
  <si>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</si>
  <si>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</si>
  <si>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</si>
  <si>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</si>
  <si>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</si>
  <si>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</si>
  <si>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</si>
  <si>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</si>
  <si>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</si>
  <si>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</si>
  <si>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</si>
  <si>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</si>
  <si>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</si>
  <si>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</si>
  <si>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</si>
  <si>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</si>
  <si>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</si>
  <si>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</si>
  <si>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</si>
  <si>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</si>
  <si>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</si>
  <si>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</si>
  <si>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</si>
  <si>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</si>
  <si>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</si>
  <si>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</si>
  <si>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</si>
  <si>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</si>
  <si>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</si>
  <si>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</si>
  <si>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</si>
  <si>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</si>
  <si>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</si>
  <si>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</si>
  <si>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</si>
  <si>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</si>
  <si>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</si>
  <si>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9900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</si>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</sst>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2900</v>
      </c>
    </row>
    <row r="6" spans="1:5" x14ac:dyDescent="0.25">
      <c r="A6" t="s">
        <v>42</v>
      </c>
      <c r="B6" s="5">
        <v>9900</v>
      </c>
      <c r="D6" t="s">
        <v>43</v>
      </c>
      <c r="E6" s="5">
        <v>1.2</v>
      </c>
    </row>
    <row r="7" spans="1:5" x14ac:dyDescent="0.25">
      <c r="A7" t="s">
        <v>44</v>
      </c>
      <c r="B7" s="5">
        <v>200</v>
      </c>
      <c r="D7" t="s">
        <v>45</v>
      </c>
      <c r="E7" s="5">
        <v>1.4</v>
      </c>
    </row>
    <row r="8" spans="1:5" x14ac:dyDescent="0.25">
      <c r="A8" t="s">
        <v>46</v>
      </c>
      <c r="B8" s="5">
        <v>200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200000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0.04000000000000001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0.2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0.2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0.08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0.0032000000000000006</v>
      </c>
      <c r="C8" s="10" t="s">
        <v>114</v>
      </c>
      <c r="E8" s="10" t="s">
        <v>115</v>
      </c>
      <c r="F8" s="11">
        <v>55.88352000000001</v>
      </c>
    </row>
    <row r="9" spans="1:6" x14ac:dyDescent="0.25">
      <c r="A9" s="10" t="s">
        <v>116</v>
      </c>
      <c r="B9" s="11">
        <v>0.04000000000000001</v>
      </c>
      <c r="C9" s="10" t="s">
        <v>117</v>
      </c>
      <c r="E9" s="10" t="s">
        <v>118</v>
      </c>
      <c r="F9" s="11">
        <v>0.005644800000000001</v>
      </c>
    </row>
    <row r="10" spans="1:6" x14ac:dyDescent="0.25">
      <c r="A10" s="10" t="s">
        <v>119</v>
      </c>
      <c r="B10" s="11">
        <v>0.04000000000000001</v>
      </c>
      <c r="C10" s="10" t="s">
        <v>117</v>
      </c>
      <c r="E10" s="10" t="s">
        <v>120</v>
      </c>
      <c r="F10" s="12">
        <v>11176704.000000002</v>
      </c>
    </row>
    <row r="11" spans="1:6" x14ac:dyDescent="0.25">
      <c r="A11" s="10" t="s">
        <v>121</v>
      </c>
      <c r="B11" s="11">
        <v>0.016</v>
      </c>
      <c r="C11" s="10" t="s">
        <v>122</v>
      </c>
      <c r="E11" s="10" t="s">
        <v>123</v>
      </c>
      <c r="F11" s="12">
        <v>1128.9600000000003</v>
      </c>
    </row>
    <row r="12" spans="1:3" x14ac:dyDescent="0.25">
      <c r="A12" s="10" t="s">
        <v>124</v>
      </c>
      <c r="B12" s="11">
        <v>0.016</v>
      </c>
      <c r="C12" s="10" t="s">
        <v>122</v>
      </c>
    </row>
    <row r="13" spans="1:3" x14ac:dyDescent="0.25">
      <c r="A13" s="10" t="s">
        <v>125</v>
      </c>
      <c r="B13" s="11">
        <v>0.032</v>
      </c>
      <c r="C13" s="10" t="s">
        <v>126</v>
      </c>
    </row>
    <row r="14" spans="1:3" x14ac:dyDescent="0.25">
      <c r="A14" s="10" t="s">
        <v>127</v>
      </c>
      <c r="B14" s="11">
        <v>0.14400000000000002</v>
      </c>
      <c r="C14" s="10" t="s">
        <v>128</v>
      </c>
    </row>
    <row r="15" spans="1:3" x14ac:dyDescent="0.25">
      <c r="A15" s="10" t="s">
        <v>129</v>
      </c>
      <c r="B15" s="11">
        <v>0.6000000000000001</v>
      </c>
      <c r="C15" s="10" t="s">
        <v>130</v>
      </c>
    </row>
    <row r="16" spans="1:3" x14ac:dyDescent="0.25">
      <c r="A16" s="10" t="s">
        <v>131</v>
      </c>
      <c r="B16" s="13">
        <v>1.9200000000000002</v>
      </c>
      <c r="C16" s="10" t="s">
        <v>132</v>
      </c>
    </row>
    <row r="17" spans="1:3" x14ac:dyDescent="0.25">
      <c r="A17" s="10" t="s">
        <v>133</v>
      </c>
      <c r="B17" s="13">
        <v>9.280000000000001</v>
      </c>
      <c r="C17" s="10" t="s">
        <v>134</v>
      </c>
    </row>
    <row r="18" spans="1:3" x14ac:dyDescent="0.25">
      <c r="A18" s="10" t="s">
        <v>42</v>
      </c>
      <c r="B18" s="13">
        <v>9900</v>
      </c>
      <c r="C18" s="10" t="s">
        <v>31</v>
      </c>
    </row>
    <row r="19" spans="1:3" x14ac:dyDescent="0.25">
      <c r="A19" s="10" t="s">
        <v>135</v>
      </c>
      <c r="B19" s="13">
        <v>31.680000000000007</v>
      </c>
      <c r="C19" s="10" t="s">
        <v>136</v>
      </c>
    </row>
    <row r="20" spans="1:3" x14ac:dyDescent="0.25">
      <c r="A20" s="10" t="s">
        <v>137</v>
      </c>
      <c r="B20" s="13">
        <v>91872.00000000001</v>
      </c>
      <c r="C20" s="10" t="s">
        <v>138</v>
      </c>
    </row>
    <row r="22" spans="1:3" x14ac:dyDescent="0.25">
      <c r="A22" t="s">
        <v>139</v>
      </c>
      <c r="B22" s="14">
        <v>0.04000000000000001</v>
      </c>
      <c r="C22" t="s">
        <v>140</v>
      </c>
    </row>
    <row r="23" spans="1:3" x14ac:dyDescent="0.25">
      <c r="A23" t="s">
        <v>141</v>
      </c>
      <c r="B23" s="14">
        <v>0.2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55.88352000000001</v>
      </c>
      <c r="E5" s="18">
        <v>200000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793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9900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9900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9900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9900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9900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9900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14850</v>
      </c>
      <c r="J5" s="12">
        <v>243.9</v>
      </c>
      <c r="K5" s="12">
        <f>I5*J5</f>
      </c>
      <c r="L5" s="12">
        <f>K5*0.302</f>
      </c>
      <c r="M5" s="22">
        <v>0.3</v>
      </c>
      <c r="N5" s="10">
        <v>2970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24750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17820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11880</v>
      </c>
      <c r="J8" s="12">
        <v>152.44</v>
      </c>
      <c r="K8" s="12">
        <f>I8*J8</f>
      </c>
      <c r="L8" s="12">
        <f>K8*0.302</f>
      </c>
      <c r="M8" s="22">
        <v>0.5</v>
      </c>
      <c r="N8" s="10">
        <v>4950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31680</v>
      </c>
      <c r="J9" s="12">
        <v>176.83</v>
      </c>
      <c r="K9" s="12">
        <f>I9*J9</f>
      </c>
      <c r="L9" s="12">
        <f>K9*0.302</f>
      </c>
      <c r="M9" s="22">
        <v>2</v>
      </c>
      <c r="N9" s="10">
        <v>19800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9900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27720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15840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39600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23760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11880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15840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5940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33660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19800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9900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3960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31680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13860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39600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29700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11880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69300</v>
      </c>
      <c r="J21" s="12">
        <v>176.83</v>
      </c>
      <c r="K21" s="12">
        <f>I21*J21</f>
      </c>
      <c r="L21" s="12">
        <f>K21*0.302</f>
      </c>
      <c r="M21" s="22">
        <v>2</v>
      </c>
      <c r="N21" s="10">
        <v>19800</v>
      </c>
      <c r="O21" s="12">
        <v>4500</v>
      </c>
      <c r="P21" s="12">
        <f>N21*O21</f>
      </c>
      <c r="Q21" s="10">
        <v>10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11880</v>
      </c>
      <c r="J22" s="12">
        <v>243.9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24750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9900</v>
      </c>
      <c r="J24" s="12">
        <v>176.83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39600</v>
      </c>
      <c r="J25" s="12">
        <v>176.83</v>
      </c>
      <c r="K25" s="12">
        <f>I25*J25</f>
      </c>
      <c r="L25" s="12">
        <f>K25*0.302</f>
      </c>
      <c r="M25" s="22">
        <v>2.5</v>
      </c>
      <c r="N25" s="10">
        <v>24750</v>
      </c>
      <c r="O25" s="12">
        <v>6000</v>
      </c>
      <c r="P25" s="12">
        <f>N25*O25</f>
      </c>
      <c r="Q25" s="10">
        <v>15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24750</v>
      </c>
      <c r="J26" s="12">
        <v>176.83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9900</v>
      </c>
      <c r="J27" s="12">
        <v>176.83</v>
      </c>
      <c r="K27" s="12">
        <f>I27*J27</f>
      </c>
      <c r="L27" s="12">
        <f>K27*0.302</f>
      </c>
      <c r="M27" s="22">
        <v>0</v>
      </c>
      <c r="N27" s="10">
        <v>0</v>
      </c>
      <c r="O27" s="12">
        <v>0</v>
      </c>
      <c r="P27" s="12">
        <f>N27*O27</f>
      </c>
      <c r="Q27" s="10">
        <v>0</v>
      </c>
      <c r="R27" s="10">
        <f>Q27*M27</f>
      </c>
      <c r="S27" s="12">
        <f>Q27*N27*12</f>
      </c>
      <c r="T27" s="12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19800</v>
      </c>
      <c r="J28" s="12">
        <v>243.9</v>
      </c>
      <c r="K28" s="12">
        <f>I28*J28</f>
      </c>
      <c r="L28" s="12">
        <f>K28*0.302</f>
      </c>
      <c r="M28" s="22">
        <v>0</v>
      </c>
      <c r="N28" s="10">
        <v>0</v>
      </c>
      <c r="O28" s="12">
        <v>0</v>
      </c>
      <c r="P28" s="12">
        <f>N28*O28</f>
      </c>
      <c r="Q28" s="10">
        <v>0</v>
      </c>
      <c r="R28" s="10">
        <f>Q28*M28</f>
      </c>
      <c r="S28" s="12">
        <f>Q28*N28*12</f>
      </c>
      <c r="T28" s="12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9900</v>
      </c>
      <c r="J29" s="12">
        <v>243.9</v>
      </c>
      <c r="K29" s="12">
        <f>I29*J29</f>
      </c>
      <c r="L29" s="12">
        <f>K29*0.302</f>
      </c>
      <c r="M29" s="22">
        <v>0</v>
      </c>
      <c r="N29" s="10">
        <v>0</v>
      </c>
      <c r="O29" s="12">
        <v>0</v>
      </c>
      <c r="P29" s="12">
        <f>N29*O29</f>
      </c>
      <c r="Q29" s="10">
        <v>0</v>
      </c>
      <c r="R29" s="10">
        <f>Q29*M29</f>
      </c>
      <c r="S29" s="12">
        <f>Q29*N29*12</f>
      </c>
      <c r="T29" s="12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44550</v>
      </c>
      <c r="J30" s="12">
        <v>152.44</v>
      </c>
      <c r="K30" s="12">
        <f>I30*J30</f>
      </c>
      <c r="L30" s="12">
        <f>K30*0.302</f>
      </c>
      <c r="M30" s="22">
        <v>0</v>
      </c>
      <c r="N30" s="10">
        <v>0</v>
      </c>
      <c r="O30" s="12">
        <v>0</v>
      </c>
      <c r="P30" s="12">
        <f>N30*O30</f>
      </c>
      <c r="Q30" s="10">
        <v>0</v>
      </c>
      <c r="R30" s="10">
        <f>Q30*M30</f>
      </c>
      <c r="S30" s="12">
        <f>Q30*N30*12</f>
      </c>
      <c r="T30" s="12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29700</v>
      </c>
      <c r="J31" s="12">
        <v>152.44</v>
      </c>
      <c r="K31" s="12">
        <f>I31*J31</f>
      </c>
      <c r="L31" s="12">
        <f>K31*0.302</f>
      </c>
      <c r="M31" s="22">
        <v>0.6</v>
      </c>
      <c r="N31" s="10">
        <v>5940</v>
      </c>
      <c r="O31" s="12">
        <v>2000</v>
      </c>
      <c r="P31" s="12">
        <f>N31*O31</f>
      </c>
      <c r="Q31" s="10">
        <v>5</v>
      </c>
      <c r="R31" s="10">
        <f>Q31*M31</f>
      </c>
      <c r="S31" s="12">
        <f>Q31*N31*12</f>
      </c>
      <c r="T31" s="12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17820</v>
      </c>
      <c r="J32" s="12">
        <v>152.44</v>
      </c>
      <c r="K32" s="12">
        <f>I32*J32</f>
      </c>
      <c r="L32" s="12">
        <f>K32*0.302</f>
      </c>
      <c r="M32" s="22">
        <v>0.6</v>
      </c>
      <c r="N32" s="10">
        <v>5940</v>
      </c>
      <c r="O32" s="12">
        <v>2000</v>
      </c>
      <c r="P32" s="12">
        <f>N32*O32</f>
      </c>
      <c r="Q32" s="10">
        <v>5</v>
      </c>
      <c r="R32" s="10">
        <f>Q32*M32</f>
      </c>
      <c r="S32" s="12">
        <f>Q32*N32*12</f>
      </c>
      <c r="T32" s="12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2">
        <v>172375204</v>
      </c>
      <c r="C5" s="10" t="s">
        <v>328</v>
      </c>
    </row>
    <row r="6" spans="1:3" x14ac:dyDescent="0.25">
      <c r="A6" s="10" t="s">
        <v>329</v>
      </c>
      <c r="B6" s="12">
        <v>1206856922.1192002</v>
      </c>
      <c r="C6" s="10" t="s">
        <v>330</v>
      </c>
    </row>
    <row r="7" spans="1:3" x14ac:dyDescent="0.25">
      <c r="A7" s="10" t="s">
        <v>331</v>
      </c>
      <c r="B7" s="12">
        <v>163535522.11920002</v>
      </c>
      <c r="C7" s="10" t="s">
        <v>332</v>
      </c>
    </row>
    <row r="8" spans="1:3" x14ac:dyDescent="0.25">
      <c r="A8" s="10" t="s">
        <v>333</v>
      </c>
      <c r="B8" s="12">
        <v>282916453.26621604</v>
      </c>
      <c r="C8" s="10" t="s">
        <v>334</v>
      </c>
    </row>
    <row r="9" spans="1:3" x14ac:dyDescent="0.25">
      <c r="A9" s="10" t="s">
        <v>335</v>
      </c>
      <c r="B9" s="12">
        <v>1662148579.3854163</v>
      </c>
      <c r="C9" s="10" t="s">
        <v>336</v>
      </c>
    </row>
    <row r="10" spans="1:3" x14ac:dyDescent="0.25">
      <c r="A10" s="10" t="s">
        <v>337</v>
      </c>
      <c r="B10" s="12">
        <v>132971886.35083331</v>
      </c>
      <c r="C10" s="10" t="s">
        <v>338</v>
      </c>
    </row>
    <row r="11" spans="1:3" x14ac:dyDescent="0.25">
      <c r="A11" s="10" t="s">
        <v>339</v>
      </c>
      <c r="B11" s="12">
        <v>1795120465.7362497</v>
      </c>
      <c r="C11" s="10" t="s">
        <v>31</v>
      </c>
    </row>
    <row r="12" spans="1:3" x14ac:dyDescent="0.25">
      <c r="A12" s="10" t="s">
        <v>340</v>
      </c>
      <c r="B12" s="12">
        <v>610340958.350325</v>
      </c>
      <c r="C12" s="10" t="s">
        <v>341</v>
      </c>
    </row>
    <row r="13" spans="1:3" x14ac:dyDescent="0.25">
      <c r="A13" s="24" t="s">
        <v>342</v>
      </c>
      <c r="B13" s="20">
        <v>2405461424.0865746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2">
        <f>B5*B7*B6</f>
      </c>
      <c r="C12" s="10" t="s">
        <v>360</v>
      </c>
    </row>
    <row r="13" spans="1:3" x14ac:dyDescent="0.25">
      <c r="A13" s="10" t="s">
        <v>361</v>
      </c>
      <c r="B13" s="12">
        <f>B8</f>
      </c>
      <c r="C13" s="10" t="s">
        <v>31</v>
      </c>
    </row>
    <row r="14" spans="1:3" x14ac:dyDescent="0.25">
      <c r="A14" s="10" t="s">
        <v>362</v>
      </c>
      <c r="B14" s="12">
        <f>B9</f>
      </c>
      <c r="C14" s="10" t="s">
        <v>31</v>
      </c>
    </row>
    <row r="15" spans="1:3" x14ac:dyDescent="0.25">
      <c r="A15" s="10" t="s">
        <v>363</v>
      </c>
      <c r="B15" s="12">
        <v>12027307.120432872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2">
        <v>172375204</v>
      </c>
      <c r="C5" s="10" t="s">
        <v>31</v>
      </c>
    </row>
    <row r="6" spans="1:3" x14ac:dyDescent="0.25">
      <c r="A6" s="10" t="s">
        <v>371</v>
      </c>
      <c r="B6" s="12">
        <v>1206856922.1192002</v>
      </c>
      <c r="C6" s="10" t="s">
        <v>31</v>
      </c>
    </row>
    <row r="7" spans="1:3" x14ac:dyDescent="0.25">
      <c r="A7" s="10" t="s">
        <v>372</v>
      </c>
      <c r="B7" s="12">
        <v>282916453.26621604</v>
      </c>
      <c r="C7" s="10" t="s">
        <v>31</v>
      </c>
    </row>
    <row r="8" spans="1:3" x14ac:dyDescent="0.25">
      <c r="A8" s="10" t="s">
        <v>373</v>
      </c>
      <c r="B8" s="12">
        <v>132971886.35083331</v>
      </c>
      <c r="C8" s="10" t="s">
        <v>31</v>
      </c>
    </row>
    <row r="9" spans="1:3" x14ac:dyDescent="0.25">
      <c r="A9" s="10" t="s">
        <v>374</v>
      </c>
      <c r="B9" s="12">
        <v>610340958.350325</v>
      </c>
      <c r="C9" s="10" t="s">
        <v>31</v>
      </c>
    </row>
    <row r="10" spans="1:3" x14ac:dyDescent="0.25">
      <c r="A10" s="10" t="s">
        <v>375</v>
      </c>
      <c r="B10" s="12">
        <v>2405461424.0865746</v>
      </c>
      <c r="C10" s="10" t="s">
        <v>31</v>
      </c>
    </row>
    <row r="11" spans="1:3" x14ac:dyDescent="0.25">
      <c r="A11" s="10" t="s">
        <v>376</v>
      </c>
      <c r="B11" s="12">
        <v>12200107.120432872</v>
      </c>
      <c r="C11" s="10" t="s">
        <v>31</v>
      </c>
    </row>
    <row r="12" spans="1:3" x14ac:dyDescent="0.25">
      <c r="A12" s="10" t="s">
        <v>377</v>
      </c>
      <c r="B12" s="12">
        <v>2417661531.2070074</v>
      </c>
      <c r="C12" s="10" t="s">
        <v>31</v>
      </c>
    </row>
    <row r="13" spans="1:3" x14ac:dyDescent="0.25">
      <c r="A13" s="24" t="s">
        <v>378</v>
      </c>
      <c r="B13" s="20">
        <v>483532306.2414015</v>
      </c>
      <c r="C13" s="10" t="s">
        <v>31</v>
      </c>
    </row>
    <row r="14" spans="1:3" x14ac:dyDescent="0.25">
      <c r="A14" s="25" t="s">
        <v>379</v>
      </c>
      <c r="B14" s="26">
        <v>2901193837.448409</v>
      </c>
      <c r="C14" s="10" t="s">
        <v>31</v>
      </c>
    </row>
    <row r="15" spans="1:3" x14ac:dyDescent="0.25">
      <c r="A15" s="10" t="s">
        <v>380</v>
      </c>
      <c r="B15" s="12">
        <v>244208.2354754553</v>
      </c>
      <c r="C15" s="10" t="s">
        <v>31</v>
      </c>
    </row>
    <row r="16" spans="1:3" x14ac:dyDescent="0.25">
      <c r="A16" s="10" t="s">
        <v>381</v>
      </c>
      <c r="B16" s="12">
        <v>293049.88257054635</v>
      </c>
      <c r="C16" s="10" t="s">
        <v>31</v>
      </c>
    </row>
    <row r="17" spans="1:3" x14ac:dyDescent="0.25">
      <c r="A17" s="24" t="s">
        <v>382</v>
      </c>
      <c r="B17" s="20">
        <v>6105205.886886382</v>
      </c>
      <c r="C17" s="10" t="s">
        <v>383</v>
      </c>
    </row>
    <row r="18" spans="1:3" x14ac:dyDescent="0.25">
      <c r="A18" s="24" t="s">
        <v>384</v>
      </c>
      <c r="B18" s="20">
        <v>7326247.064263659</v>
      </c>
      <c r="C18" s="10" t="s">
        <v>383</v>
      </c>
    </row>
    <row r="19" spans="1:3" x14ac:dyDescent="0.25">
      <c r="A19" s="10" t="s">
        <v>385</v>
      </c>
      <c r="B19" s="12">
        <v>1221041.1773772764</v>
      </c>
      <c r="C19" s="10" t="s">
        <v>386</v>
      </c>
    </row>
    <row r="20" spans="1:3" x14ac:dyDescent="0.25">
      <c r="A20" s="10" t="s">
        <v>387</v>
      </c>
      <c r="B20" s="12">
        <v>1465249.4128527318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
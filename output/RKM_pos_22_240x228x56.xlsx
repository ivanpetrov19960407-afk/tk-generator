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<sst xmlns="http://schemas.openxmlformats.org/spreadsheetml/2006/main" count="529" uniqueCount="391">
  <si>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</si>
  <si>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</si>
  <si>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</si>
  <si>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объемное, из монолитного блока с толщиной t=228, с трехплоскостным кантом: верхний кант - с радиусом R=10 и основанием профиля хонет; центральный кант - криволинейного реза проф,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рельефная_матовая; размеры 240×228×56мм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</si>
  <si>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</si>
  <si>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</si>
  <si>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</si>
  <si>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240 × 228 × 56</t>
  </si>
  <si>
    <t>Количество:</t>
  </si>
  <si>
    <t>44 шт.</t>
  </si>
  <si>
    <t xml:space="preserve">Фактура поверхности </t>
  </si>
  <si>
    <t>Рельефная_матовая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</si>
  <si>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</si>
  <si>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</si>
  <si>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</si>
  <si>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</si>
  <si>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</si>
  <si>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</si>
  <si>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</si>
  <si>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</si>
  <si>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</si>
  <si>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</si>
  <si>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</si>
  <si>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</si>
  <si>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</si>
  <si>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</si>
  <si>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</si>
  <si>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</si>
  <si>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</si>
  <si>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</si>
  <si>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</si>
  <si>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</si>
  <si>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</si>
  <si>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</si>
  <si>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</si>
  <si>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</si>
  <si>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</si>
  <si>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</si>
  <si>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</si>
  <si>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</si>
  <si>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</si>
  <si>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</si>
  <si>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</si>
  <si>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</si>
  <si>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</si>
  <si>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</si>
  <si>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</si>
  <si>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</si>
  <si>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</si>
  <si>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</si>
  <si>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</si>
  <si>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</si>
  <si>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</si>
  <si>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</si>
  <si>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</si>
  <si>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</si>
  <si>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</si>
  <si>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</si>
  <si>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</si>
  <si>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</si>
  <si>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</si>
  <si>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</si>
  <si>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</si>
  <si>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</si>
  <si>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</si>
  <si>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</si>
  <si>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</si>
  <si>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</si>
  <si>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</si>
  <si>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</si>
  <si>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</si>
  <si>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</si>
  <si>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</si>
  <si>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</si>
  <si>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</si>
  <si>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</si>
  <si>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</si>
  <si>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</si>
  <si>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</si>
  <si>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</si>
  <si>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</si>
  <si>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</si>
  <si>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</si>
  <si>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</si>
  <si>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</si>
  <si>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</si>
  <si>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</si>
  <si>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</si>
  <si>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</si>
  <si>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</si>
  <si>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</si>
  <si>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</si>
  <si>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</si>
  <si>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</si>
  <si>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</si>
  <si>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</si>
  <si>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</si>
  <si>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</si>
  <si>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</si>
  <si>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</si>
  <si>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</si>
  <si>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240×228×56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</si>
  <si>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</si>
  <si>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</si>
  <si>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</si>
  <si>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</si>
  <si>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</si>
  <si>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</si>
  <si>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</si>
  <si>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</si>
  <si>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</si>
  <si>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</si>
  <si>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</si>
  <si>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</si>
  <si>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</si>
  <si>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</si>
  <si>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</si>
  <si>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</si>
  <si>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</si>
  <si>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</si>
  <si>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</si>
  <si>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</si>
  <si>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</si>
  <si>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</si>
  <si>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</si>
  <si>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</si>
  <si>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</si>
  <si>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</si>
  <si>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</si>
  <si>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</si>
  <si>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</si>
  <si>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</si>
  <si>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</si>
  <si>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</si>
  <si>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</si>
  <si>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</si>
  <si>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</si>
  <si>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</si>
  <si>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</si>
  <si>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</si>
  <si>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</si>
  <si>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</si>
  <si>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</si>
  <si>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</si>
  <si>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</si>
  <si>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</si>
  <si>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</si>
  <si>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</si>
  <si>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</si>
  <si>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</si>
  <si>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</si>
  <si>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</si>
  <si>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</si>
  <si>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</si>
  <si>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</si>
  <si>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</si>
  <si>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</si>
  <si>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</si>
  <si>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</si>
  <si>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</si>
  <si>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</si>
  <si>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</si>
  <si>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</si>
  <si>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</si>
  <si>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</si>
  <si>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</si>
  <si>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</si>
  <si>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</si>
  <si>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</si>
  <si>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</si>
  <si>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</si>
  <si>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</si>
  <si>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</si>
  <si>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</si>
  <si>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</si>
  <si>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</si>
  <si>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</si>
  <si>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44 компл на 44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</si>
  <si>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</si>
  <si>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</si>
  <si>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</si>
  <si>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</si>
  <si>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</si>
  <si>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</si>
  <si>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</si>
  <si>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</si>
  <si>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</si>
  <si>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</si>
  <si>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</si>
  <si>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</si>
  <si>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</si>
  <si>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</si>
  <si>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</si>
  <si>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</si>
  <si>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</si>
  <si>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</si>
  <si>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</si>
  <si>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</si>
  <si>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</si>
  <si>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</si>
  <si>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</si>
  <si>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</si>
  <si>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</si>
  <si>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</si>
  <si>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</si>
  <si>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</si>
  <si>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</si>
  <si>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</si>
  <si>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</si>
  <si>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</si>
  <si>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</si>
  <si>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</si>
  <si>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</si>
  <si>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</si>
  <si>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</si>
  <si>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</si>
  <si>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</si>
  <si>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</si>
  <si>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</si>
  <si>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</si>
  <si>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</si>
  <si>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</si>
  <si>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</si>
  <si>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</si>
  <si>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</si>
  <si>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</si>
  <si>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</si>
  <si>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</si>
  <si>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</si>
  <si>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</si>
  <si>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</si>
  <si>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</si>
  <si>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</si>
  <si>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</si>
  <si>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</si>
  <si>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</si>
  <si>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</si>
  <si>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</si>
  <si>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</si>
  <si>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</si>
  <si>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</si>
  <si>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</si>
  <si>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</si>
  <si>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</si>
  <si>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</si>
  <si>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</si>
  <si>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</si>
  <si>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</si>
  <si>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</si>
  <si>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</si>
  <si>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</si>
  <si>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</si>
  <si>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</si>
  <si>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</si>
  <si>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</si>
  <si>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</si>
  <si>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</si>
  <si>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</si>
  <si>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</si>
  <si>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</si>
  <si>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</si>
  <si>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</si>
  <si>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</si>
  <si>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</si>
  <si>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</si>
  <si>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</si>
  <si>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</si>
  <si>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</si>
  <si>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</si>
  <si>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</si>
  <si>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</si>
  <si>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</si>
  <si>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</si>
  <si>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</si>
  <si>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</si>
  <si>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</si>
  <si>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</si>
  <si>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</si>
  <si>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</si>
  <si>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</si>
  <si>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</si>
  <si>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</si>
  <si>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</si>
  <si>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</si>
  <si>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</si>
  <si>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</si>
  <si>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</si>
  <si>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</si>
  <si>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</si>
  <si>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</si>
  <si>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</si>
  <si>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</si>
  <si>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</si>
  <si>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</si>
  <si>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</si>
  <si>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</si>
  <si>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</si>
  <si>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</si>
  <si>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</si>
  <si>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</si>
  <si>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</si>
  <si>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</si>
  <si>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</si>
  <si>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</si>
  <si>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</si>
  <si>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</si>
  <si>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</si>
  <si>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</si>
  <si>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</si>
  <si>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</si>
  <si>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</si>
  <si>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</si>
  <si>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</si>
  <si>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</si>
  <si>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</si>
  <si>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</si>
  <si>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</si>
  <si>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</si>
  <si>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</si>
  <si>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</si>
  <si>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</si>
  <si>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</si>
  <si>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</si>
  <si>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</si>
  <si>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</si>
  <si>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</si>
  <si>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</si>
  <si>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</si>
  <si>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</si>
  <si>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</si>
  <si>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</si>
  <si>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</si>
  <si>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</si>
  <si>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</si>
  <si>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</si>
  <si>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</si>
  <si>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</si>
  <si>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</si>
  <si>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</si>
  <si>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</si>
  <si>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</si>
  <si>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</si>
  <si>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</si>
  <si>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</si>
  <si>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</si>
  <si>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</si>
  <si>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</si>
  <si>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</si>
  <si>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</si>
  <si>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</si>
  <si>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</si>
  <si>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</si>
  <si>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</si>
  <si>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</si>
  <si>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</si>
  <si>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44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</si>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</sst>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44</v>
      </c>
      <c r="D6" t="s">
        <v>43</v>
      </c>
      <c r="E6" s="5">
        <v>1.2</v>
      </c>
    </row>
    <row r="7" spans="1:5" x14ac:dyDescent="0.25">
      <c r="A7" t="s">
        <v>44</v>
      </c>
      <c r="B7" s="5">
        <v>240</v>
      </c>
      <c r="D7" t="s">
        <v>45</v>
      </c>
      <c r="E7" s="5">
        <v>2</v>
      </c>
    </row>
    <row r="8" spans="1:5" x14ac:dyDescent="0.25">
      <c r="A8" t="s">
        <v>46</v>
      </c>
      <c r="B8" s="5">
        <v>228</v>
      </c>
      <c r="D8" t="s">
        <v>47</v>
      </c>
      <c r="E8" s="5">
        <v>1.05</v>
      </c>
    </row>
    <row r="9" spans="1:5" x14ac:dyDescent="0.25">
      <c r="A9" t="s">
        <v>48</v>
      </c>
      <c r="B9" s="5">
        <v>56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0.05472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0.24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0.24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0.228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0.056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0.00306432</v>
      </c>
      <c r="C8" s="10" t="s">
        <v>114</v>
      </c>
      <c r="E8" s="10" t="s">
        <v>115</v>
      </c>
      <c r="F8" s="11">
        <v>0.3397718016000001</v>
      </c>
    </row>
    <row r="9" spans="1:6" x14ac:dyDescent="0.25">
      <c r="A9" s="10" t="s">
        <v>116</v>
      </c>
      <c r="B9" s="11">
        <v>0.05472</v>
      </c>
      <c r="C9" s="10" t="s">
        <v>117</v>
      </c>
      <c r="E9" s="10" t="s">
        <v>118</v>
      </c>
      <c r="F9" s="11">
        <v>0.007722086400000002</v>
      </c>
    </row>
    <row r="10" spans="1:6" x14ac:dyDescent="0.25">
      <c r="A10" s="10" t="s">
        <v>119</v>
      </c>
      <c r="B10" s="11">
        <v>0.05472</v>
      </c>
      <c r="C10" s="10" t="s">
        <v>117</v>
      </c>
      <c r="E10" s="10" t="s">
        <v>120</v>
      </c>
      <c r="F10" s="12">
        <v>218133.49662720005</v>
      </c>
    </row>
    <row r="11" spans="1:6" x14ac:dyDescent="0.25">
      <c r="A11" s="10" t="s">
        <v>121</v>
      </c>
      <c r="B11" s="11">
        <v>0.01344</v>
      </c>
      <c r="C11" s="10" t="s">
        <v>122</v>
      </c>
      <c r="E11" s="10" t="s">
        <v>123</v>
      </c>
      <c r="F11" s="12">
        <v>4957.579468800001</v>
      </c>
    </row>
    <row r="12" spans="1:3" x14ac:dyDescent="0.25">
      <c r="A12" s="10" t="s">
        <v>124</v>
      </c>
      <c r="B12" s="11">
        <v>0.01344</v>
      </c>
      <c r="C12" s="10" t="s">
        <v>122</v>
      </c>
    </row>
    <row r="13" spans="1:3" x14ac:dyDescent="0.25">
      <c r="A13" s="10" t="s">
        <v>125</v>
      </c>
      <c r="B13" s="11">
        <v>0.025536000000000003</v>
      </c>
      <c r="C13" s="10" t="s">
        <v>126</v>
      </c>
    </row>
    <row r="14" spans="1:3" x14ac:dyDescent="0.25">
      <c r="A14" s="10" t="s">
        <v>127</v>
      </c>
      <c r="B14" s="11">
        <v>0.161856</v>
      </c>
      <c r="C14" s="10" t="s">
        <v>128</v>
      </c>
    </row>
    <row r="15" spans="1:3" x14ac:dyDescent="0.25">
      <c r="A15" s="10" t="s">
        <v>129</v>
      </c>
      <c r="B15" s="11">
        <v>0.696</v>
      </c>
      <c r="C15" s="10" t="s">
        <v>130</v>
      </c>
    </row>
    <row r="16" spans="1:3" x14ac:dyDescent="0.25">
      <c r="A16" s="10" t="s">
        <v>131</v>
      </c>
      <c r="B16" s="13">
        <v>2.096</v>
      </c>
      <c r="C16" s="10" t="s">
        <v>132</v>
      </c>
    </row>
    <row r="17" spans="1:3" x14ac:dyDescent="0.25">
      <c r="A17" s="10" t="s">
        <v>133</v>
      </c>
      <c r="B17" s="13">
        <v>8.273664</v>
      </c>
      <c r="C17" s="10" t="s">
        <v>134</v>
      </c>
    </row>
    <row r="18" spans="1:3" x14ac:dyDescent="0.25">
      <c r="A18" s="10" t="s">
        <v>42</v>
      </c>
      <c r="B18" s="13">
        <v>44</v>
      </c>
      <c r="C18" s="10" t="s">
        <v>31</v>
      </c>
    </row>
    <row r="19" spans="1:3" x14ac:dyDescent="0.25">
      <c r="A19" s="10" t="s">
        <v>135</v>
      </c>
      <c r="B19" s="11">
        <v>0.13483008000000002</v>
      </c>
      <c r="C19" s="10" t="s">
        <v>136</v>
      </c>
    </row>
    <row r="20" spans="1:3" x14ac:dyDescent="0.25">
      <c r="A20" s="10" t="s">
        <v>137</v>
      </c>
      <c r="B20" s="13">
        <v>364.041216</v>
      </c>
      <c r="C20" s="10" t="s">
        <v>138</v>
      </c>
    </row>
    <row r="22" spans="1:3" x14ac:dyDescent="0.25">
      <c r="A22" t="s">
        <v>139</v>
      </c>
      <c r="B22" s="14">
        <v>0.05472</v>
      </c>
      <c r="C22" t="s">
        <v>140</v>
      </c>
    </row>
    <row r="23" spans="1:3" x14ac:dyDescent="0.25">
      <c r="A23" t="s">
        <v>141</v>
      </c>
      <c r="B23" s="14">
        <v>0.24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0.3397718016000001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44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44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44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44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44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44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66</v>
      </c>
      <c r="J5" s="12">
        <v>243.9</v>
      </c>
      <c r="K5" s="12">
        <f>I5*J5</f>
      </c>
      <c r="L5" s="12">
        <f>K5*0.302</f>
      </c>
      <c r="M5" s="22">
        <v>0.3</v>
      </c>
      <c r="N5" s="10">
        <v>13.2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110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79.2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52.8</v>
      </c>
      <c r="J8" s="12">
        <v>152.44</v>
      </c>
      <c r="K8" s="12">
        <f>I8*J8</f>
      </c>
      <c r="L8" s="12">
        <f>K8*0.302</f>
      </c>
      <c r="M8" s="22">
        <v>0.5</v>
      </c>
      <c r="N8" s="10">
        <v>22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140.8</v>
      </c>
      <c r="J9" s="12">
        <v>176.83</v>
      </c>
      <c r="K9" s="12">
        <f>I9*J9</f>
      </c>
      <c r="L9" s="12">
        <f>K9*0.302</f>
      </c>
      <c r="M9" s="22">
        <v>2</v>
      </c>
      <c r="N9" s="10">
        <v>88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44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123.19999999999999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70.4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176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105.6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52.8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70.4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26.4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149.6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88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44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17.6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140.8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61.599999999999994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176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132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44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176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110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110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44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88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44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198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132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26.4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79.2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26.4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922533.4966272</v>
      </c>
      <c r="C5" s="10" t="s">
        <v>315</v>
      </c>
    </row>
    <row r="6" spans="1:3" x14ac:dyDescent="0.25">
      <c r="A6" s="10" t="s">
        <v>316</v>
      </c>
      <c r="B6" s="12">
        <v>4832087.954584002</v>
      </c>
      <c r="C6" s="10" t="s">
        <v>317</v>
      </c>
    </row>
    <row r="7" spans="1:3" x14ac:dyDescent="0.25">
      <c r="A7" s="10" t="s">
        <v>318</v>
      </c>
      <c r="B7" s="12">
        <v>601663.9545840002</v>
      </c>
      <c r="C7" s="10" t="s">
        <v>319</v>
      </c>
    </row>
    <row r="8" spans="1:3" x14ac:dyDescent="0.25">
      <c r="A8" s="10" t="s">
        <v>320</v>
      </c>
      <c r="B8" s="12">
        <v>1040878.6414303203</v>
      </c>
      <c r="C8" s="10" t="s">
        <v>321</v>
      </c>
    </row>
    <row r="9" spans="1:3" x14ac:dyDescent="0.25">
      <c r="A9" s="10" t="s">
        <v>322</v>
      </c>
      <c r="B9" s="12">
        <v>6795500.092641522</v>
      </c>
      <c r="C9" s="10" t="s">
        <v>323</v>
      </c>
    </row>
    <row r="10" spans="1:3" x14ac:dyDescent="0.25">
      <c r="A10" s="10" t="s">
        <v>324</v>
      </c>
      <c r="B10" s="12">
        <v>543640.0074113217</v>
      </c>
      <c r="C10" s="10" t="s">
        <v>325</v>
      </c>
    </row>
    <row r="11" spans="1:3" x14ac:dyDescent="0.25">
      <c r="A11" s="10" t="s">
        <v>326</v>
      </c>
      <c r="B11" s="12">
        <v>7339140.100052844</v>
      </c>
      <c r="C11" s="10" t="s">
        <v>31</v>
      </c>
    </row>
    <row r="12" spans="1:3" x14ac:dyDescent="0.25">
      <c r="A12" s="10" t="s">
        <v>327</v>
      </c>
      <c r="B12" s="12">
        <v>2495307.634017967</v>
      </c>
      <c r="C12" s="10" t="s">
        <v>328</v>
      </c>
    </row>
    <row r="13" spans="1:3" x14ac:dyDescent="0.25">
      <c r="A13" s="24" t="s">
        <v>329</v>
      </c>
      <c r="B13" s="20">
        <v>9834447.734070811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49172.23867035406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922533.4966272</v>
      </c>
      <c r="C5" s="10" t="s">
        <v>31</v>
      </c>
    </row>
    <row r="6" spans="1:3" x14ac:dyDescent="0.25">
      <c r="A6" s="10" t="s">
        <v>358</v>
      </c>
      <c r="B6" s="12">
        <v>4832087.954584002</v>
      </c>
      <c r="C6" s="10" t="s">
        <v>31</v>
      </c>
    </row>
    <row r="7" spans="1:3" x14ac:dyDescent="0.25">
      <c r="A7" s="10" t="s">
        <v>359</v>
      </c>
      <c r="B7" s="12">
        <v>1040878.6414303203</v>
      </c>
      <c r="C7" s="10" t="s">
        <v>31</v>
      </c>
    </row>
    <row r="8" spans="1:3" x14ac:dyDescent="0.25">
      <c r="A8" s="10" t="s">
        <v>360</v>
      </c>
      <c r="B8" s="12">
        <v>543640.0074113217</v>
      </c>
      <c r="C8" s="10" t="s">
        <v>31</v>
      </c>
    </row>
    <row r="9" spans="1:3" x14ac:dyDescent="0.25">
      <c r="A9" s="10" t="s">
        <v>361</v>
      </c>
      <c r="B9" s="12">
        <v>2495307.634017967</v>
      </c>
      <c r="C9" s="10" t="s">
        <v>31</v>
      </c>
    </row>
    <row r="10" spans="1:3" x14ac:dyDescent="0.25">
      <c r="A10" s="10" t="s">
        <v>362</v>
      </c>
      <c r="B10" s="12">
        <v>9834447.734070811</v>
      </c>
      <c r="C10" s="10" t="s">
        <v>31</v>
      </c>
    </row>
    <row r="11" spans="1:3" x14ac:dyDescent="0.25">
      <c r="A11" s="10" t="s">
        <v>363</v>
      </c>
      <c r="B11" s="12">
        <v>221972.23867035407</v>
      </c>
      <c r="C11" s="10" t="s">
        <v>31</v>
      </c>
    </row>
    <row r="12" spans="1:3" x14ac:dyDescent="0.25">
      <c r="A12" s="10" t="s">
        <v>364</v>
      </c>
      <c r="B12" s="12">
        <v>10056419.972741166</v>
      </c>
      <c r="C12" s="10" t="s">
        <v>31</v>
      </c>
    </row>
    <row r="13" spans="1:3" x14ac:dyDescent="0.25">
      <c r="A13" s="24" t="s">
        <v>365</v>
      </c>
      <c r="B13" s="20">
        <v>2011283.9945482332</v>
      </c>
      <c r="C13" s="10" t="s">
        <v>31</v>
      </c>
    </row>
    <row r="14" spans="1:3" x14ac:dyDescent="0.25">
      <c r="A14" s="25" t="s">
        <v>366</v>
      </c>
      <c r="B14" s="26">
        <v>12067703.9672894</v>
      </c>
      <c r="C14" s="10" t="s">
        <v>31</v>
      </c>
    </row>
    <row r="15" spans="1:3" x14ac:dyDescent="0.25">
      <c r="A15" s="10" t="s">
        <v>367</v>
      </c>
      <c r="B15" s="12">
        <v>228554.99938048105</v>
      </c>
      <c r="C15" s="10" t="s">
        <v>31</v>
      </c>
    </row>
    <row r="16" spans="1:3" x14ac:dyDescent="0.25">
      <c r="A16" s="10" t="s">
        <v>368</v>
      </c>
      <c r="B16" s="12">
        <v>274265.9992565773</v>
      </c>
      <c r="C16" s="10" t="s">
        <v>31</v>
      </c>
    </row>
    <row r="17" spans="1:3" x14ac:dyDescent="0.25">
      <c r="A17" s="24" t="s">
        <v>369</v>
      </c>
      <c r="B17" s="20">
        <v>4176809.1992046973</v>
      </c>
      <c r="C17" s="10" t="s">
        <v>370</v>
      </c>
    </row>
    <row r="18" spans="1:3" x14ac:dyDescent="0.25">
      <c r="A18" s="24" t="s">
        <v>371</v>
      </c>
      <c r="B18" s="20">
        <v>5012171.039045637</v>
      </c>
      <c r="C18" s="10" t="s">
        <v>370</v>
      </c>
    </row>
    <row r="19" spans="1:3" x14ac:dyDescent="0.25">
      <c r="A19" s="10" t="s">
        <v>372</v>
      </c>
      <c r="B19" s="12">
        <v>952312.4974186711</v>
      </c>
      <c r="C19" s="10" t="s">
        <v>373</v>
      </c>
    </row>
    <row r="20" spans="1:3" x14ac:dyDescent="0.25">
      <c r="A20" s="10" t="s">
        <v>374</v>
      </c>
      <c r="B20" s="12">
        <v>1142774.9969024053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
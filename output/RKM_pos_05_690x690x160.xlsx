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<sst xmlns="http://schemas.openxmlformats.org/spreadsheetml/2006/main" count="529" uniqueCount="391">
  <si>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</si>
  <si>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</si>
  <si>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</si>
  <si>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 сегментное, радиусное, с формной канта R=65,  из полнотелого натурального камня с толщиной t=160, с радиусом от R510, с калибровкой и полировкой торцевых частей изделия,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лощение; размеры 690×690×160мм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</si>
  <si>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</si>
  <si>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</si>
  <si>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</si>
  <si>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690 × 690 × 160</t>
  </si>
  <si>
    <t>Количество:</t>
  </si>
  <si>
    <t>64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</si>
  <si>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</si>
  <si>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</si>
  <si>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</si>
  <si>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</si>
  <si>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</si>
  <si>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</si>
  <si>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</si>
  <si>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</si>
  <si>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</si>
  <si>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</si>
  <si>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</si>
  <si>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</si>
  <si>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</si>
  <si>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</si>
  <si>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</si>
  <si>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</si>
  <si>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</si>
  <si>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</si>
  <si>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</si>
  <si>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</si>
  <si>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</si>
  <si>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</si>
  <si>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</si>
  <si>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</si>
  <si>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</si>
  <si>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</si>
  <si>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</si>
  <si>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</si>
  <si>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</si>
  <si>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</si>
  <si>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</si>
  <si>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</si>
  <si>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</si>
  <si>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</si>
  <si>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</si>
  <si>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</si>
  <si>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</si>
  <si>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</si>
  <si>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</si>
  <si>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</si>
  <si>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</si>
  <si>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</si>
  <si>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</si>
  <si>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</si>
  <si>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</si>
  <si>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</si>
  <si>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</si>
  <si>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</si>
  <si>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</si>
  <si>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</si>
  <si>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</si>
  <si>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</si>
  <si>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</si>
  <si>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</si>
  <si>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</si>
  <si>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</si>
  <si>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</si>
  <si>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</si>
  <si>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</si>
  <si>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</si>
  <si>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</si>
  <si>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</si>
  <si>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</si>
  <si>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</si>
  <si>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</si>
  <si>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</si>
  <si>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</si>
  <si>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</si>
  <si>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</si>
  <si>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</si>
  <si>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</si>
  <si>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</si>
  <si>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</si>
  <si>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</si>
  <si>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</si>
  <si>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</si>
  <si>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</si>
  <si>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</si>
  <si>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</si>
  <si>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</si>
  <si>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</si>
  <si>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</si>
  <si>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</si>
  <si>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</si>
  <si>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</si>
  <si>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</si>
  <si>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</si>
  <si>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</si>
  <si>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</si>
  <si>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</si>
  <si>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</si>
  <si>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690×690×160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</si>
  <si>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</si>
  <si>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</si>
  <si>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</si>
  <si>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</si>
  <si>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</si>
  <si>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</si>
  <si>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</si>
  <si>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</si>
  <si>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</si>
  <si>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</si>
  <si>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</si>
  <si>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</si>
  <si>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</si>
  <si>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</si>
  <si>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</si>
  <si>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</si>
  <si>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</si>
  <si>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</si>
  <si>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</si>
  <si>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</si>
  <si>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</si>
  <si>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</si>
  <si>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</si>
  <si>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</si>
  <si>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</si>
  <si>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</si>
  <si>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</si>
  <si>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</si>
  <si>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</si>
  <si>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</si>
  <si>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</si>
  <si>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</si>
  <si>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</si>
  <si>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</si>
  <si>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</si>
  <si>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</si>
  <si>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</si>
  <si>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</si>
  <si>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</si>
  <si>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</si>
  <si>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</si>
  <si>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</si>
  <si>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</si>
  <si>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</si>
  <si>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</si>
  <si>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</si>
  <si>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</si>
  <si>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</si>
  <si>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</si>
  <si>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</si>
  <si>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</si>
  <si>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</si>
  <si>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</si>
  <si>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</si>
  <si>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</si>
  <si>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</si>
  <si>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</si>
  <si>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</si>
  <si>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</si>
  <si>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</si>
  <si>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</si>
  <si>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</si>
  <si>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</si>
  <si>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</si>
  <si>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</si>
  <si>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</si>
  <si>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</si>
  <si>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</si>
  <si>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</si>
  <si>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</si>
  <si>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</si>
  <si>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</si>
  <si>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</si>
  <si>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</si>
  <si>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</si>
  <si>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64 компл на 64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</si>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</sst>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64</v>
      </c>
      <c r="D6" t="s">
        <v>43</v>
      </c>
      <c r="E6" s="5">
        <v>1.2</v>
      </c>
    </row>
    <row r="7" spans="1:5" x14ac:dyDescent="0.25">
      <c r="A7" t="s">
        <v>44</v>
      </c>
      <c r="B7" s="5">
        <v>690</v>
      </c>
      <c r="D7" t="s">
        <v>45</v>
      </c>
      <c r="E7" s="5">
        <v>2</v>
      </c>
    </row>
    <row r="8" spans="1:5" x14ac:dyDescent="0.25">
      <c r="A8" t="s">
        <v>46</v>
      </c>
      <c r="B8" s="5">
        <v>690</v>
      </c>
      <c r="D8" t="s">
        <v>47</v>
      </c>
      <c r="E8" s="5">
        <v>1.05</v>
      </c>
    </row>
    <row r="9" spans="1:5" x14ac:dyDescent="0.25">
      <c r="A9" t="s">
        <v>48</v>
      </c>
      <c r="B9" s="5">
        <v>160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0.4760999999999999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0.69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0.16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0.076176</v>
      </c>
      <c r="C8" s="10" t="s">
        <v>114</v>
      </c>
      <c r="E8" s="10" t="s">
        <v>115</v>
      </c>
      <c r="F8" s="11">
        <v>12.285665279999998</v>
      </c>
    </row>
    <row r="9" spans="1:6" x14ac:dyDescent="0.25">
      <c r="A9" s="10" t="s">
        <v>116</v>
      </c>
      <c r="B9" s="11">
        <v>0.4760999999999999</v>
      </c>
      <c r="C9" s="10" t="s">
        <v>117</v>
      </c>
      <c r="E9" s="10" t="s">
        <v>118</v>
      </c>
      <c r="F9" s="11">
        <v>0.19196351999999997</v>
      </c>
    </row>
    <row r="10" spans="1:6" x14ac:dyDescent="0.25">
      <c r="A10" s="10" t="s">
        <v>119</v>
      </c>
      <c r="B10" s="11">
        <v>0.4760999999999999</v>
      </c>
      <c r="C10" s="10" t="s">
        <v>117</v>
      </c>
      <c r="E10" s="10" t="s">
        <v>120</v>
      </c>
      <c r="F10" s="12">
        <v>2091020.2306559996</v>
      </c>
    </row>
    <row r="11" spans="1:6" x14ac:dyDescent="0.25">
      <c r="A11" s="10" t="s">
        <v>121</v>
      </c>
      <c r="B11" s="11">
        <v>0.1104</v>
      </c>
      <c r="C11" s="10" t="s">
        <v>122</v>
      </c>
      <c r="E11" s="10" t="s">
        <v>123</v>
      </c>
      <c r="F11" s="12">
        <v>32672.191103999994</v>
      </c>
    </row>
    <row r="12" spans="1:3" x14ac:dyDescent="0.25">
      <c r="A12" s="10" t="s">
        <v>124</v>
      </c>
      <c r="B12" s="11">
        <v>0.1104</v>
      </c>
      <c r="C12" s="10" t="s">
        <v>122</v>
      </c>
    </row>
    <row r="13" spans="1:3" x14ac:dyDescent="0.25">
      <c r="A13" s="10" t="s">
        <v>125</v>
      </c>
      <c r="B13" s="11">
        <v>0.2208</v>
      </c>
      <c r="C13" s="10" t="s">
        <v>126</v>
      </c>
    </row>
    <row r="14" spans="1:3" x14ac:dyDescent="0.25">
      <c r="A14" s="10" t="s">
        <v>127</v>
      </c>
      <c r="B14" s="13">
        <v>1.3937999999999997</v>
      </c>
      <c r="C14" s="10" t="s">
        <v>128</v>
      </c>
    </row>
    <row r="15" spans="1:3" x14ac:dyDescent="0.25">
      <c r="A15" s="10" t="s">
        <v>129</v>
      </c>
      <c r="B15" s="13">
        <v>2.07</v>
      </c>
      <c r="C15" s="10" t="s">
        <v>130</v>
      </c>
    </row>
    <row r="16" spans="1:3" x14ac:dyDescent="0.25">
      <c r="A16" s="10" t="s">
        <v>131</v>
      </c>
      <c r="B16" s="13">
        <v>6.159999999999999</v>
      </c>
      <c r="C16" s="10" t="s">
        <v>132</v>
      </c>
    </row>
    <row r="17" spans="1:3" x14ac:dyDescent="0.25">
      <c r="A17" s="10" t="s">
        <v>133</v>
      </c>
      <c r="B17" s="13">
        <v>205.6752</v>
      </c>
      <c r="C17" s="10" t="s">
        <v>134</v>
      </c>
    </row>
    <row r="18" spans="1:3" x14ac:dyDescent="0.25">
      <c r="A18" s="10" t="s">
        <v>42</v>
      </c>
      <c r="B18" s="13">
        <v>64</v>
      </c>
      <c r="C18" s="10" t="s">
        <v>31</v>
      </c>
    </row>
    <row r="19" spans="1:3" x14ac:dyDescent="0.25">
      <c r="A19" s="10" t="s">
        <v>135</v>
      </c>
      <c r="B19" s="13">
        <v>4.875264</v>
      </c>
      <c r="C19" s="10" t="s">
        <v>136</v>
      </c>
    </row>
    <row r="20" spans="1:3" x14ac:dyDescent="0.25">
      <c r="A20" s="10" t="s">
        <v>137</v>
      </c>
      <c r="B20" s="13">
        <v>13163.2128</v>
      </c>
      <c r="C20" s="10" t="s">
        <v>138</v>
      </c>
    </row>
    <row r="22" spans="1:3" x14ac:dyDescent="0.25">
      <c r="A22" t="s">
        <v>139</v>
      </c>
      <c r="B22" s="14">
        <v>0.4760999999999999</v>
      </c>
      <c r="C22" t="s">
        <v>140</v>
      </c>
    </row>
    <row r="23" spans="1:3" x14ac:dyDescent="0.25">
      <c r="A23" t="s">
        <v>141</v>
      </c>
      <c r="B23" s="14">
        <v>0.69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12.285665279999998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64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64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64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64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64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64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96</v>
      </c>
      <c r="J5" s="12">
        <v>243.9</v>
      </c>
      <c r="K5" s="12">
        <f>I5*J5</f>
      </c>
      <c r="L5" s="12">
        <f>K5*0.302</f>
      </c>
      <c r="M5" s="22">
        <v>0.3</v>
      </c>
      <c r="N5" s="10">
        <v>19.2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160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115.2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76.8</v>
      </c>
      <c r="J8" s="12">
        <v>152.44</v>
      </c>
      <c r="K8" s="12">
        <f>I8*J8</f>
      </c>
      <c r="L8" s="12">
        <f>K8*0.302</f>
      </c>
      <c r="M8" s="22">
        <v>0.5</v>
      </c>
      <c r="N8" s="10">
        <v>32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204.8</v>
      </c>
      <c r="J9" s="12">
        <v>176.83</v>
      </c>
      <c r="K9" s="12">
        <f>I9*J9</f>
      </c>
      <c r="L9" s="12">
        <f>K9*0.302</f>
      </c>
      <c r="M9" s="22">
        <v>2</v>
      </c>
      <c r="N9" s="10">
        <v>128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64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179.2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102.4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256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153.6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76.8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102.4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38.4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217.6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128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64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25.6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204.8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89.6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256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192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64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256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160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160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64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128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64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288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192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38.4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115.2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38.4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3107420.230656</v>
      </c>
      <c r="C5" s="10" t="s">
        <v>315</v>
      </c>
    </row>
    <row r="6" spans="1:3" x14ac:dyDescent="0.25">
      <c r="A6" s="10" t="s">
        <v>316</v>
      </c>
      <c r="B6" s="12">
        <v>7028491.570304001</v>
      </c>
      <c r="C6" s="10" t="s">
        <v>317</v>
      </c>
    </row>
    <row r="7" spans="1:3" x14ac:dyDescent="0.25">
      <c r="A7" s="10" t="s">
        <v>318</v>
      </c>
      <c r="B7" s="12">
        <v>875147.5703039998</v>
      </c>
      <c r="C7" s="10" t="s">
        <v>319</v>
      </c>
    </row>
    <row r="8" spans="1:3" x14ac:dyDescent="0.25">
      <c r="A8" s="10" t="s">
        <v>320</v>
      </c>
      <c r="B8" s="12">
        <v>1514005.2966259196</v>
      </c>
      <c r="C8" s="10" t="s">
        <v>321</v>
      </c>
    </row>
    <row r="9" spans="1:3" x14ac:dyDescent="0.25">
      <c r="A9" s="10" t="s">
        <v>322</v>
      </c>
      <c r="B9" s="12">
        <v>11649917.09758592</v>
      </c>
      <c r="C9" s="10" t="s">
        <v>323</v>
      </c>
    </row>
    <row r="10" spans="1:3" x14ac:dyDescent="0.25">
      <c r="A10" s="10" t="s">
        <v>324</v>
      </c>
      <c r="B10" s="12">
        <v>931993.3678068736</v>
      </c>
      <c r="C10" s="10" t="s">
        <v>325</v>
      </c>
    </row>
    <row r="11" spans="1:3" x14ac:dyDescent="0.25">
      <c r="A11" s="10" t="s">
        <v>326</v>
      </c>
      <c r="B11" s="12">
        <v>12581910.465392794</v>
      </c>
      <c r="C11" s="10" t="s">
        <v>31</v>
      </c>
    </row>
    <row r="12" spans="1:3" x14ac:dyDescent="0.25">
      <c r="A12" s="10" t="s">
        <v>327</v>
      </c>
      <c r="B12" s="12">
        <v>4277849.558233551</v>
      </c>
      <c r="C12" s="10" t="s">
        <v>328</v>
      </c>
    </row>
    <row r="13" spans="1:3" x14ac:dyDescent="0.25">
      <c r="A13" s="24" t="s">
        <v>329</v>
      </c>
      <c r="B13" s="20">
        <v>16859760.023626346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84298.80011813174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3107420.230656</v>
      </c>
      <c r="C5" s="10" t="s">
        <v>31</v>
      </c>
    </row>
    <row r="6" spans="1:3" x14ac:dyDescent="0.25">
      <c r="A6" s="10" t="s">
        <v>358</v>
      </c>
      <c r="B6" s="12">
        <v>7028491.570304001</v>
      </c>
      <c r="C6" s="10" t="s">
        <v>31</v>
      </c>
    </row>
    <row r="7" spans="1:3" x14ac:dyDescent="0.25">
      <c r="A7" s="10" t="s">
        <v>359</v>
      </c>
      <c r="B7" s="12">
        <v>1514005.2966259196</v>
      </c>
      <c r="C7" s="10" t="s">
        <v>31</v>
      </c>
    </row>
    <row r="8" spans="1:3" x14ac:dyDescent="0.25">
      <c r="A8" s="10" t="s">
        <v>360</v>
      </c>
      <c r="B8" s="12">
        <v>931993.3678068736</v>
      </c>
      <c r="C8" s="10" t="s">
        <v>31</v>
      </c>
    </row>
    <row r="9" spans="1:3" x14ac:dyDescent="0.25">
      <c r="A9" s="10" t="s">
        <v>361</v>
      </c>
      <c r="B9" s="12">
        <v>4277849.558233551</v>
      </c>
      <c r="C9" s="10" t="s">
        <v>31</v>
      </c>
    </row>
    <row r="10" spans="1:3" x14ac:dyDescent="0.25">
      <c r="A10" s="10" t="s">
        <v>362</v>
      </c>
      <c r="B10" s="12">
        <v>16859760.023626346</v>
      </c>
      <c r="C10" s="10" t="s">
        <v>31</v>
      </c>
    </row>
    <row r="11" spans="1:3" x14ac:dyDescent="0.25">
      <c r="A11" s="10" t="s">
        <v>363</v>
      </c>
      <c r="B11" s="12">
        <v>257098.80011813174</v>
      </c>
      <c r="C11" s="10" t="s">
        <v>31</v>
      </c>
    </row>
    <row r="12" spans="1:3" x14ac:dyDescent="0.25">
      <c r="A12" s="10" t="s">
        <v>364</v>
      </c>
      <c r="B12" s="12">
        <v>17116858.82374448</v>
      </c>
      <c r="C12" s="10" t="s">
        <v>31</v>
      </c>
    </row>
    <row r="13" spans="1:3" x14ac:dyDescent="0.25">
      <c r="A13" s="24" t="s">
        <v>365</v>
      </c>
      <c r="B13" s="20">
        <v>3423371.764748896</v>
      </c>
      <c r="C13" s="10" t="s">
        <v>31</v>
      </c>
    </row>
    <row r="14" spans="1:3" x14ac:dyDescent="0.25">
      <c r="A14" s="25" t="s">
        <v>366</v>
      </c>
      <c r="B14" s="26">
        <v>20540230.588493377</v>
      </c>
      <c r="C14" s="10" t="s">
        <v>31</v>
      </c>
    </row>
    <row r="15" spans="1:3" x14ac:dyDescent="0.25">
      <c r="A15" s="10" t="s">
        <v>367</v>
      </c>
      <c r="B15" s="12">
        <v>267450.9191210075</v>
      </c>
      <c r="C15" s="10" t="s">
        <v>31</v>
      </c>
    </row>
    <row r="16" spans="1:3" x14ac:dyDescent="0.25">
      <c r="A16" s="10" t="s">
        <v>368</v>
      </c>
      <c r="B16" s="12">
        <v>320941.102945209</v>
      </c>
      <c r="C16" s="10" t="s">
        <v>31</v>
      </c>
    </row>
    <row r="17" spans="1:3" x14ac:dyDescent="0.25">
      <c r="A17" s="24" t="s">
        <v>369</v>
      </c>
      <c r="B17" s="20">
        <v>561753.6633501523</v>
      </c>
      <c r="C17" s="10" t="s">
        <v>370</v>
      </c>
    </row>
    <row r="18" spans="1:3" x14ac:dyDescent="0.25">
      <c r="A18" s="24" t="s">
        <v>371</v>
      </c>
      <c r="B18" s="20">
        <v>674104.3960201829</v>
      </c>
      <c r="C18" s="10" t="s">
        <v>370</v>
      </c>
    </row>
    <row r="19" spans="1:3" x14ac:dyDescent="0.25">
      <c r="A19" s="10" t="s">
        <v>372</v>
      </c>
      <c r="B19" s="12">
        <v>387610.0277116051</v>
      </c>
      <c r="C19" s="10" t="s">
        <v>373</v>
      </c>
    </row>
    <row r="20" spans="1:3" x14ac:dyDescent="0.25">
      <c r="A20" s="10" t="s">
        <v>374</v>
      </c>
      <c r="B20" s="12">
        <v>465132.03325392614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
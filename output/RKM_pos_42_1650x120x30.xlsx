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<sst xmlns="http://schemas.openxmlformats.org/spreadsheetml/2006/main" count="529" uniqueCount="391">
  <si>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</si>
  <si>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</si>
  <si>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</si>
  <si>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изготовления, сложной конфигура,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лощение; размеры 1650×120×30мм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</si>
  <si>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</si>
  <si>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</si>
  <si>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</si>
  <si>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1650 × 120 × 30</t>
  </si>
  <si>
    <t>Количество:</t>
  </si>
  <si>
    <t>35 шт.</t>
  </si>
  <si>
    <t xml:space="preserve">Фактура поверхности </t>
  </si>
  <si>
    <t>Лощение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</si>
  <si>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</si>
  <si>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</si>
  <si>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</si>
  <si>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</si>
  <si>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</si>
  <si>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</si>
  <si>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</si>
  <si>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</si>
  <si>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</si>
  <si>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</si>
  <si>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</si>
  <si>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</si>
  <si>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</si>
  <si>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</si>
  <si>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</si>
  <si>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</si>
  <si>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</si>
  <si>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</si>
  <si>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</si>
  <si>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</si>
  <si>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</si>
  <si>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</si>
  <si>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</si>
  <si>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</si>
  <si>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</si>
  <si>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</si>
  <si>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</si>
  <si>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</si>
  <si>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</si>
  <si>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</si>
  <si>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</si>
  <si>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</si>
  <si>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</si>
  <si>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</si>
  <si>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</si>
  <si>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</si>
  <si>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</si>
  <si>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</si>
  <si>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</si>
  <si>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</si>
  <si>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</si>
  <si>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</si>
  <si>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</si>
  <si>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</si>
  <si>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</si>
  <si>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</si>
  <si>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</si>
  <si>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</si>
  <si>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</si>
  <si>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</si>
  <si>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</si>
  <si>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</si>
  <si>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</si>
  <si>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</si>
  <si>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</si>
  <si>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</si>
  <si>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</si>
  <si>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</si>
  <si>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</si>
  <si>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</si>
  <si>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</si>
  <si>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</si>
  <si>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</si>
  <si>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</si>
  <si>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</si>
  <si>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</si>
  <si>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</si>
  <si>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</si>
  <si>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</si>
  <si>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</si>
  <si>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</si>
  <si>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</si>
  <si>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</si>
  <si>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</si>
  <si>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</si>
  <si>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</si>
  <si>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</si>
  <si>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</si>
  <si>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</si>
  <si>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</si>
  <si>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</si>
  <si>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</si>
  <si>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</si>
  <si>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</si>
  <si>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</si>
  <si>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</si>
  <si>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</si>
  <si>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</si>
  <si>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</si>
  <si>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1650×120×30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</si>
  <si>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</si>
  <si>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</si>
  <si>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</si>
  <si>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</si>
  <si>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</si>
  <si>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</si>
  <si>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</si>
  <si>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</si>
  <si>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</si>
  <si>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</si>
  <si>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</si>
  <si>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</si>
  <si>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</si>
  <si>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</si>
  <si>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</si>
  <si>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</si>
  <si>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</si>
  <si>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</si>
  <si>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</si>
  <si>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</si>
  <si>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</si>
  <si>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</si>
  <si>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</si>
  <si>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</si>
  <si>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</si>
  <si>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</si>
  <si>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</si>
  <si>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</si>
  <si>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</si>
  <si>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</si>
  <si>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</si>
  <si>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</si>
  <si>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</si>
  <si>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</si>
  <si>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</si>
  <si>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</si>
  <si>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</si>
  <si>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</si>
  <si>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</si>
  <si>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</si>
  <si>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</si>
  <si>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</si>
  <si>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</si>
  <si>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</si>
  <si>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</si>
  <si>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</si>
  <si>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</si>
  <si>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</si>
  <si>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</si>
  <si>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</si>
  <si>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</si>
  <si>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</si>
  <si>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</si>
  <si>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</si>
  <si>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</si>
  <si>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</si>
  <si>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</si>
  <si>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</si>
  <si>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</si>
  <si>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</si>
  <si>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</si>
  <si>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</si>
  <si>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</si>
  <si>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</si>
  <si>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</si>
  <si>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</si>
  <si>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</si>
  <si>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</si>
  <si>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</si>
  <si>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</si>
  <si>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</si>
  <si>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</si>
  <si>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</si>
  <si>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</si>
  <si>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</si>
  <si>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35 компл на 35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</si>
  <si>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</si>
  <si>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</si>
  <si>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</si>
  <si>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</si>
  <si>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</si>
  <si>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</si>
  <si>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</si>
  <si>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</si>
  <si>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</si>
  <si>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</si>
  <si>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</si>
  <si>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</si>
  <si>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</si>
  <si>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</si>
  <si>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</si>
  <si>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</si>
  <si>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</si>
  <si>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</si>
  <si>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</si>
  <si>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</si>
  <si>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</si>
  <si>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</si>
  <si>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</si>
  <si>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</si>
  <si>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</si>
  <si>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</si>
  <si>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</si>
  <si>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</si>
  <si>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</si>
  <si>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</si>
  <si>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</si>
  <si>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</si>
  <si>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</si>
  <si>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</si>
  <si>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</si>
  <si>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</si>
  <si>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</si>
  <si>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</si>
  <si>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</si>
  <si>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</si>
  <si>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</si>
  <si>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</si>
  <si>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</si>
  <si>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</si>
  <si>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</si>
  <si>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</si>
  <si>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</si>
  <si>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</si>
  <si>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</si>
  <si>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</si>
  <si>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</si>
  <si>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</si>
  <si>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</si>
  <si>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</si>
  <si>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</si>
  <si>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</si>
  <si>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</si>
  <si>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</si>
  <si>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</si>
  <si>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</si>
  <si>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</si>
  <si>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</si>
  <si>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</si>
  <si>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</si>
  <si>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</si>
  <si>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</si>
  <si>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</si>
  <si>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</si>
  <si>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</si>
  <si>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</si>
  <si>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</si>
  <si>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</si>
  <si>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</si>
  <si>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</si>
  <si>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</si>
  <si>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</si>
  <si>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</si>
  <si>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</si>
  <si>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</si>
  <si>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</si>
  <si>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</si>
  <si>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</si>
  <si>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</si>
  <si>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</si>
  <si>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</si>
  <si>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</si>
  <si>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</si>
  <si>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</si>
  <si>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</si>
  <si>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</si>
  <si>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</si>
  <si>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</si>
  <si>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</si>
  <si>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</si>
  <si>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</si>
  <si>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</si>
  <si>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</si>
  <si>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</si>
  <si>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</si>
  <si>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</si>
  <si>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</si>
  <si>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</si>
  <si>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</si>
  <si>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</si>
  <si>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</si>
  <si>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</si>
  <si>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</si>
  <si>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</si>
  <si>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</si>
  <si>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</si>
  <si>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</si>
  <si>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</si>
  <si>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</si>
  <si>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</si>
  <si>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</si>
  <si>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</si>
  <si>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</si>
  <si>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</si>
  <si>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</si>
  <si>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</si>
  <si>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</si>
  <si>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</si>
  <si>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</si>
  <si>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</si>
  <si>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</si>
  <si>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</si>
  <si>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</si>
  <si>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</si>
  <si>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</si>
  <si>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</si>
  <si>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</si>
  <si>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</si>
  <si>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</si>
  <si>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</si>
  <si>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</si>
  <si>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</si>
  <si>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</si>
  <si>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</si>
  <si>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</si>
  <si>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</si>
  <si>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</si>
  <si>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</si>
  <si>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</si>
  <si>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</si>
  <si>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</si>
  <si>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</si>
  <si>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</si>
  <si>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</si>
  <si>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</si>
  <si>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</si>
  <si>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</si>
  <si>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</si>
  <si>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</si>
  <si>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</si>
  <si>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</si>
  <si>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</si>
  <si>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</si>
  <si>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</si>
  <si>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</si>
  <si>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</si>
  <si>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</si>
  <si>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</si>
  <si>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</si>
  <si>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</si>
  <si>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</si>
  <si>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</si>
  <si>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</si>
  <si>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</si>
  <si>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</si>
  <si>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</si>
  <si>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</si>
  <si>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</si>
  <si>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</si>
  <si>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</si>
  <si>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</si>
  <si>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</si>
  <si>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</si>
  <si>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35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</si>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</sst>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35</v>
      </c>
      <c r="D6" t="s">
        <v>43</v>
      </c>
      <c r="E6" s="5">
        <v>1.2</v>
      </c>
    </row>
    <row r="7" spans="1:5" x14ac:dyDescent="0.25">
      <c r="A7" t="s">
        <v>44</v>
      </c>
      <c r="B7" s="5">
        <v>1650</v>
      </c>
      <c r="D7" t="s">
        <v>45</v>
      </c>
      <c r="E7" s="5">
        <v>2</v>
      </c>
    </row>
    <row r="8" spans="1:5" x14ac:dyDescent="0.25">
      <c r="A8" t="s">
        <v>46</v>
      </c>
      <c r="B8" s="5">
        <v>120</v>
      </c>
      <c r="D8" t="s">
        <v>47</v>
      </c>
      <c r="E8" s="5">
        <v>1.05</v>
      </c>
    </row>
    <row r="9" spans="1:5" x14ac:dyDescent="0.25">
      <c r="A9" t="s">
        <v>48</v>
      </c>
      <c r="B9" s="5">
        <v>30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0.19799999999999998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1.65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1.65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2">
        <v>0.12</v>
      </c>
      <c r="C6" s="10" t="s">
        <v>107</v>
      </c>
      <c r="E6" s="10" t="s">
        <v>110</v>
      </c>
      <c r="F6" s="12">
        <v>2</v>
      </c>
    </row>
    <row r="7" spans="1:6" x14ac:dyDescent="0.25">
      <c r="A7" s="10" t="s">
        <v>111</v>
      </c>
      <c r="B7" s="12">
        <v>0.03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0.005939999999999999</v>
      </c>
      <c r="C8" s="10" t="s">
        <v>114</v>
      </c>
      <c r="E8" s="10" t="s">
        <v>115</v>
      </c>
      <c r="F8" s="12">
        <v>0.5239079999999999</v>
      </c>
    </row>
    <row r="9" spans="1:6" x14ac:dyDescent="0.25">
      <c r="A9" s="10" t="s">
        <v>116</v>
      </c>
      <c r="B9" s="12">
        <v>0.19799999999999998</v>
      </c>
      <c r="C9" s="10" t="s">
        <v>117</v>
      </c>
      <c r="E9" s="10" t="s">
        <v>118</v>
      </c>
      <c r="F9" s="12">
        <v>0.014968799999999997</v>
      </c>
    </row>
    <row r="10" spans="1:6" x14ac:dyDescent="0.25">
      <c r="A10" s="10" t="s">
        <v>119</v>
      </c>
      <c r="B10" s="12">
        <v>0.19799999999999998</v>
      </c>
      <c r="C10" s="10" t="s">
        <v>117</v>
      </c>
      <c r="E10" s="10" t="s">
        <v>120</v>
      </c>
      <c r="F10" s="13">
        <v>336348.9359999999</v>
      </c>
    </row>
    <row r="11" spans="1:6" x14ac:dyDescent="0.25">
      <c r="A11" s="10" t="s">
        <v>121</v>
      </c>
      <c r="B11" s="12">
        <v>0.049499999999999995</v>
      </c>
      <c r="C11" s="10" t="s">
        <v>122</v>
      </c>
      <c r="E11" s="10" t="s">
        <v>123</v>
      </c>
      <c r="F11" s="13">
        <v>9609.969599999999</v>
      </c>
    </row>
    <row r="12" spans="1:3" x14ac:dyDescent="0.25">
      <c r="A12" s="10" t="s">
        <v>124</v>
      </c>
      <c r="B12" s="12">
        <v>0.049499999999999995</v>
      </c>
      <c r="C12" s="10" t="s">
        <v>122</v>
      </c>
    </row>
    <row r="13" spans="1:3" x14ac:dyDescent="0.25">
      <c r="A13" s="10" t="s">
        <v>125</v>
      </c>
      <c r="B13" s="12">
        <v>0.0072</v>
      </c>
      <c r="C13" s="10" t="s">
        <v>126</v>
      </c>
    </row>
    <row r="14" spans="1:3" x14ac:dyDescent="0.25">
      <c r="A14" s="10" t="s">
        <v>127</v>
      </c>
      <c r="B14" s="12">
        <v>0.5022</v>
      </c>
      <c r="C14" s="10" t="s">
        <v>128</v>
      </c>
    </row>
    <row r="15" spans="1:3" x14ac:dyDescent="0.25">
      <c r="A15" s="10" t="s">
        <v>129</v>
      </c>
      <c r="B15" s="11">
        <v>1.89</v>
      </c>
      <c r="C15" s="10" t="s">
        <v>130</v>
      </c>
    </row>
    <row r="16" spans="1:3" x14ac:dyDescent="0.25">
      <c r="A16" s="10" t="s">
        <v>131</v>
      </c>
      <c r="B16" s="11">
        <v>7.2</v>
      </c>
      <c r="C16" s="10" t="s">
        <v>132</v>
      </c>
    </row>
    <row r="17" spans="1:3" x14ac:dyDescent="0.25">
      <c r="A17" s="10" t="s">
        <v>133</v>
      </c>
      <c r="B17" s="11">
        <v>16.037999999999997</v>
      </c>
      <c r="C17" s="10" t="s">
        <v>134</v>
      </c>
    </row>
    <row r="18" spans="1:3" x14ac:dyDescent="0.25">
      <c r="A18" s="10" t="s">
        <v>42</v>
      </c>
      <c r="B18" s="11">
        <v>35</v>
      </c>
      <c r="C18" s="10" t="s">
        <v>31</v>
      </c>
    </row>
    <row r="19" spans="1:3" x14ac:dyDescent="0.25">
      <c r="A19" s="10" t="s">
        <v>135</v>
      </c>
      <c r="B19" s="12">
        <v>0.20789999999999997</v>
      </c>
      <c r="C19" s="10" t="s">
        <v>136</v>
      </c>
    </row>
    <row r="20" spans="1:3" x14ac:dyDescent="0.25">
      <c r="A20" s="10" t="s">
        <v>137</v>
      </c>
      <c r="B20" s="11">
        <v>561.3299999999999</v>
      </c>
      <c r="C20" s="10" t="s">
        <v>138</v>
      </c>
    </row>
    <row r="22" spans="1:3" x14ac:dyDescent="0.25">
      <c r="A22" t="s">
        <v>139</v>
      </c>
      <c r="B22" s="14">
        <v>0.19799999999999998</v>
      </c>
      <c r="C22" t="s">
        <v>140</v>
      </c>
    </row>
    <row r="23" spans="1:3" x14ac:dyDescent="0.25">
      <c r="A23" t="s">
        <v>141</v>
      </c>
      <c r="B23" s="14">
        <v>1.65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0.5239079999999999</v>
      </c>
      <c r="E5" s="18">
        <v>642000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0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35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35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35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35</v>
      </c>
      <c r="E12" s="18">
        <v>18000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35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35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52.5</v>
      </c>
      <c r="J5" s="13">
        <v>243.9</v>
      </c>
      <c r="K5" s="13">
        <f>I5*J5</f>
      </c>
      <c r="L5" s="13">
        <f>K5*0.302</f>
      </c>
      <c r="M5" s="22">
        <v>0.3</v>
      </c>
      <c r="N5" s="10">
        <v>10.5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87.5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63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42</v>
      </c>
      <c r="J8" s="13">
        <v>152.44</v>
      </c>
      <c r="K8" s="13">
        <f>I8*J8</f>
      </c>
      <c r="L8" s="13">
        <f>K8*0.302</f>
      </c>
      <c r="M8" s="22">
        <v>0.5</v>
      </c>
      <c r="N8" s="10">
        <v>17.5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112</v>
      </c>
      <c r="J9" s="13">
        <v>176.83</v>
      </c>
      <c r="K9" s="13">
        <f>I9*J9</f>
      </c>
      <c r="L9" s="13">
        <f>K9*0.302</f>
      </c>
      <c r="M9" s="22">
        <v>2</v>
      </c>
      <c r="N9" s="10">
        <v>70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35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98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56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140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84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42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56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21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119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70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35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14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112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49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140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105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20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</v>
      </c>
      <c r="I20" s="10">
        <v>35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21</v>
      </c>
      <c r="B21" s="16" t="s">
        <v>281</v>
      </c>
      <c r="C21" s="16" t="s">
        <v>282</v>
      </c>
      <c r="D21" s="10" t="s">
        <v>77</v>
      </c>
      <c r="E21" s="10" t="s">
        <v>70</v>
      </c>
      <c r="F21" s="10" t="s">
        <v>237</v>
      </c>
      <c r="G21" s="10" t="s">
        <v>238</v>
      </c>
      <c r="H21" s="22">
        <v>4</v>
      </c>
      <c r="I21" s="10">
        <v>140</v>
      </c>
      <c r="J21" s="13">
        <v>176.83</v>
      </c>
      <c r="K21" s="13">
        <f>I21*J21</f>
      </c>
      <c r="L21" s="13">
        <f>K21*0.302</f>
      </c>
      <c r="M21" s="22">
        <v>2.5</v>
      </c>
      <c r="N21" s="10">
        <v>87.5</v>
      </c>
      <c r="O21" s="13">
        <v>6000</v>
      </c>
      <c r="P21" s="13">
        <f>N21*O21</f>
      </c>
      <c r="Q21" s="10">
        <v>15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22</v>
      </c>
      <c r="B22" s="16" t="s">
        <v>284</v>
      </c>
      <c r="C22" s="16" t="s">
        <v>285</v>
      </c>
      <c r="D22" s="10" t="s">
        <v>31</v>
      </c>
      <c r="E22" s="10" t="s">
        <v>70</v>
      </c>
      <c r="F22" s="10" t="s">
        <v>272</v>
      </c>
      <c r="G22" s="10" t="s">
        <v>224</v>
      </c>
      <c r="H22" s="22">
        <v>2.5</v>
      </c>
      <c r="I22" s="10">
        <v>87.5</v>
      </c>
      <c r="J22" s="13">
        <v>176.83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23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279</v>
      </c>
      <c r="G23" s="10" t="s">
        <v>224</v>
      </c>
      <c r="H23" s="22">
        <v>1</v>
      </c>
      <c r="I23" s="10">
        <v>35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24</v>
      </c>
      <c r="B24" s="16" t="s">
        <v>290</v>
      </c>
      <c r="C24" s="16" t="s">
        <v>291</v>
      </c>
      <c r="D24" s="10" t="s">
        <v>31</v>
      </c>
      <c r="E24" s="10" t="s">
        <v>64</v>
      </c>
      <c r="F24" s="10" t="s">
        <v>242</v>
      </c>
      <c r="G24" s="10" t="s">
        <v>224</v>
      </c>
      <c r="H24" s="22">
        <v>2</v>
      </c>
      <c r="I24" s="10">
        <v>70</v>
      </c>
      <c r="J24" s="13">
        <v>243.9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292</v>
      </c>
    </row>
    <row r="25" spans="1:21" x14ac:dyDescent="0.25">
      <c r="A25" s="10">
        <v>25</v>
      </c>
      <c r="B25" s="16" t="s">
        <v>293</v>
      </c>
      <c r="C25" s="16" t="s">
        <v>294</v>
      </c>
      <c r="D25" s="10" t="s">
        <v>31</v>
      </c>
      <c r="E25" s="10" t="s">
        <v>64</v>
      </c>
      <c r="F25" s="10" t="s">
        <v>295</v>
      </c>
      <c r="G25" s="10" t="s">
        <v>224</v>
      </c>
      <c r="H25" s="22">
        <v>1</v>
      </c>
      <c r="I25" s="10">
        <v>35</v>
      </c>
      <c r="J25" s="13">
        <v>243.9</v>
      </c>
      <c r="K25" s="13">
        <f>I25*J25</f>
      </c>
      <c r="L25" s="13">
        <f>K25*0.302</f>
      </c>
      <c r="M25" s="22">
        <v>0</v>
      </c>
      <c r="N25" s="10">
        <v>0</v>
      </c>
      <c r="O25" s="13">
        <v>0</v>
      </c>
      <c r="P25" s="13">
        <f>N25*O25</f>
      </c>
      <c r="Q25" s="10">
        <v>0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26</v>
      </c>
      <c r="B26" s="16" t="s">
        <v>297</v>
      </c>
      <c r="C26" s="16" t="s">
        <v>298</v>
      </c>
      <c r="D26" s="10" t="s">
        <v>31</v>
      </c>
      <c r="E26" s="10" t="s">
        <v>76</v>
      </c>
      <c r="F26" s="10" t="s">
        <v>299</v>
      </c>
      <c r="G26" s="10" t="s">
        <v>224</v>
      </c>
      <c r="H26" s="22">
        <v>4.5</v>
      </c>
      <c r="I26" s="10">
        <v>157.5</v>
      </c>
      <c r="J26" s="13">
        <v>152.44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300</v>
      </c>
    </row>
    <row r="27" spans="1:21" x14ac:dyDescent="0.25">
      <c r="A27" s="10">
        <v>27</v>
      </c>
      <c r="B27" s="16" t="s">
        <v>301</v>
      </c>
      <c r="C27" s="16" t="s">
        <v>302</v>
      </c>
      <c r="D27" s="10" t="s">
        <v>80</v>
      </c>
      <c r="E27" s="10" t="s">
        <v>76</v>
      </c>
      <c r="F27" s="10" t="s">
        <v>303</v>
      </c>
      <c r="G27" s="10" t="s">
        <v>219</v>
      </c>
      <c r="H27" s="22">
        <v>3</v>
      </c>
      <c r="I27" s="10">
        <v>105</v>
      </c>
      <c r="J27" s="13">
        <v>152.44</v>
      </c>
      <c r="K27" s="13">
        <f>I27*J27</f>
      </c>
      <c r="L27" s="13">
        <f>K27*0.302</f>
      </c>
      <c r="M27" s="22">
        <v>0.6</v>
      </c>
      <c r="N27" s="10">
        <v>21</v>
      </c>
      <c r="O27" s="13">
        <v>2000</v>
      </c>
      <c r="P27" s="13">
        <f>N27*O27</f>
      </c>
      <c r="Q27" s="10">
        <v>5</v>
      </c>
      <c r="R27" s="10">
        <f>Q27*M27</f>
      </c>
      <c r="S27" s="13">
        <f>Q27*N27*12</f>
      </c>
      <c r="T27" s="13">
        <f>K27+L27+P27+S27</f>
      </c>
      <c r="U27" s="16" t="s">
        <v>304</v>
      </c>
    </row>
    <row r="28" spans="1:21" x14ac:dyDescent="0.25">
      <c r="A28" s="10">
        <v>28</v>
      </c>
      <c r="B28" s="16" t="s">
        <v>305</v>
      </c>
      <c r="C28" s="16" t="s">
        <v>306</v>
      </c>
      <c r="D28" s="10" t="s">
        <v>80</v>
      </c>
      <c r="E28" s="10" t="s">
        <v>76</v>
      </c>
      <c r="F28" s="10" t="s">
        <v>307</v>
      </c>
      <c r="G28" s="10" t="s">
        <v>233</v>
      </c>
      <c r="H28" s="22">
        <v>1.8</v>
      </c>
      <c r="I28" s="10">
        <v>63</v>
      </c>
      <c r="J28" s="13">
        <v>152.44</v>
      </c>
      <c r="K28" s="13">
        <f>I28*J28</f>
      </c>
      <c r="L28" s="13">
        <f>K28*0.302</f>
      </c>
      <c r="M28" s="22">
        <v>0.6</v>
      </c>
      <c r="N28" s="10">
        <v>21</v>
      </c>
      <c r="O28" s="13">
        <v>2000</v>
      </c>
      <c r="P28" s="13">
        <f>N28*O28</f>
      </c>
      <c r="Q28" s="10">
        <v>5</v>
      </c>
      <c r="R28" s="10">
        <f>Q28*M28</f>
      </c>
      <c r="S28" s="13">
        <f>Q28*N28*12</f>
      </c>
      <c r="T28" s="13">
        <f>K28+L28+P28+S28</f>
      </c>
      <c r="U28" s="16" t="s">
        <v>308</v>
      </c>
    </row>
    <row r="30" spans="2:20" x14ac:dyDescent="0.25">
      <c r="B30" s="3" t="s">
        <v>309</v>
      </c>
      <c r="G30" t="s">
        <v>224</v>
      </c>
      <c r="H30" s="20">
        <f>SUM(H5:H28)</f>
      </c>
      <c r="I30" s="20">
        <f>SUM(I5:I28)</f>
      </c>
      <c r="J30" t="s">
        <v>224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310</v>
      </c>
    </row>
    <row r="2" spans="1:1" x14ac:dyDescent="0.25">
      <c r="A2" t="s">
        <v>311</v>
      </c>
    </row>
    <row r="4" spans="1:3" x14ac:dyDescent="0.25">
      <c r="A4" s="23" t="s">
        <v>312</v>
      </c>
      <c r="B4" s="23" t="s">
        <v>103</v>
      </c>
      <c r="C4" s="23" t="s">
        <v>313</v>
      </c>
    </row>
    <row r="5" spans="1:3" x14ac:dyDescent="0.25">
      <c r="A5" s="10" t="s">
        <v>314</v>
      </c>
      <c r="B5" s="13">
        <v>1355348.936</v>
      </c>
      <c r="C5" s="10" t="s">
        <v>315</v>
      </c>
    </row>
    <row r="6" spans="1:3" x14ac:dyDescent="0.25">
      <c r="A6" s="10" t="s">
        <v>316</v>
      </c>
      <c r="B6" s="13">
        <v>3843706.32751</v>
      </c>
      <c r="C6" s="10" t="s">
        <v>317</v>
      </c>
    </row>
    <row r="7" spans="1:3" x14ac:dyDescent="0.25">
      <c r="A7" s="10" t="s">
        <v>318</v>
      </c>
      <c r="B7" s="13">
        <v>478596.32750999986</v>
      </c>
      <c r="C7" s="10" t="s">
        <v>319</v>
      </c>
    </row>
    <row r="8" spans="1:3" x14ac:dyDescent="0.25">
      <c r="A8" s="10" t="s">
        <v>320</v>
      </c>
      <c r="B8" s="13">
        <v>827971.6465922997</v>
      </c>
      <c r="C8" s="10" t="s">
        <v>321</v>
      </c>
    </row>
    <row r="9" spans="1:3" x14ac:dyDescent="0.25">
      <c r="A9" s="10" t="s">
        <v>322</v>
      </c>
      <c r="B9" s="13">
        <v>6027026.910102299</v>
      </c>
      <c r="C9" s="10" t="s">
        <v>323</v>
      </c>
    </row>
    <row r="10" spans="1:3" x14ac:dyDescent="0.25">
      <c r="A10" s="10" t="s">
        <v>324</v>
      </c>
      <c r="B10" s="13">
        <v>482162.152808184</v>
      </c>
      <c r="C10" s="10" t="s">
        <v>325</v>
      </c>
    </row>
    <row r="11" spans="1:3" x14ac:dyDescent="0.25">
      <c r="A11" s="10" t="s">
        <v>326</v>
      </c>
      <c r="B11" s="13">
        <v>6509189.062910483</v>
      </c>
      <c r="C11" s="10" t="s">
        <v>31</v>
      </c>
    </row>
    <row r="12" spans="1:3" x14ac:dyDescent="0.25">
      <c r="A12" s="10" t="s">
        <v>327</v>
      </c>
      <c r="B12" s="13">
        <v>2213124.2813895643</v>
      </c>
      <c r="C12" s="10" t="s">
        <v>328</v>
      </c>
    </row>
    <row r="13" spans="1:3" x14ac:dyDescent="0.25">
      <c r="A13" s="24" t="s">
        <v>329</v>
      </c>
      <c r="B13" s="20">
        <v>8722313.344300047</v>
      </c>
      <c r="C13" s="10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331</v>
      </c>
    </row>
    <row r="2" spans="1:1" x14ac:dyDescent="0.25">
      <c r="A2" t="s">
        <v>332</v>
      </c>
    </row>
    <row r="4" spans="1:3" x14ac:dyDescent="0.25">
      <c r="A4" s="23" t="s">
        <v>102</v>
      </c>
      <c r="B4" s="23" t="s">
        <v>103</v>
      </c>
      <c r="C4" s="23" t="s">
        <v>333</v>
      </c>
    </row>
    <row r="5" spans="1:3" x14ac:dyDescent="0.25">
      <c r="A5" s="10" t="s">
        <v>334</v>
      </c>
      <c r="B5" s="18">
        <v>940</v>
      </c>
      <c r="C5" s="10" t="s">
        <v>335</v>
      </c>
    </row>
    <row r="6" spans="1:3" x14ac:dyDescent="0.25">
      <c r="A6" s="10" t="s">
        <v>336</v>
      </c>
      <c r="B6" s="22">
        <v>1</v>
      </c>
      <c r="C6" s="10" t="s">
        <v>337</v>
      </c>
    </row>
    <row r="7" spans="1:3" x14ac:dyDescent="0.25">
      <c r="A7" s="10" t="s">
        <v>338</v>
      </c>
      <c r="B7" s="18">
        <v>120</v>
      </c>
      <c r="C7" s="10" t="s">
        <v>339</v>
      </c>
    </row>
    <row r="8" spans="1:3" x14ac:dyDescent="0.25">
      <c r="A8" s="10" t="s">
        <v>340</v>
      </c>
      <c r="B8" s="18">
        <v>25000</v>
      </c>
      <c r="C8" s="10" t="s">
        <v>341</v>
      </c>
    </row>
    <row r="9" spans="1:3" x14ac:dyDescent="0.25">
      <c r="A9" s="10" t="s">
        <v>342</v>
      </c>
      <c r="B9" s="18">
        <v>35000</v>
      </c>
      <c r="C9" s="10" t="s">
        <v>343</v>
      </c>
    </row>
    <row r="10" spans="1:3" x14ac:dyDescent="0.25">
      <c r="A10" s="10" t="s">
        <v>344</v>
      </c>
      <c r="B10" s="22">
        <v>0.005</v>
      </c>
      <c r="C10" s="10" t="s">
        <v>345</v>
      </c>
    </row>
    <row r="12" spans="1:3" x14ac:dyDescent="0.25">
      <c r="A12" s="10" t="s">
        <v>346</v>
      </c>
      <c r="B12" s="13">
        <f>B5*B7*B6</f>
      </c>
      <c r="C12" s="10" t="s">
        <v>347</v>
      </c>
    </row>
    <row r="13" spans="1:3" x14ac:dyDescent="0.25">
      <c r="A13" s="10" t="s">
        <v>348</v>
      </c>
      <c r="B13" s="13">
        <f>B8</f>
      </c>
      <c r="C13" s="10" t="s">
        <v>31</v>
      </c>
    </row>
    <row r="14" spans="1:3" x14ac:dyDescent="0.25">
      <c r="A14" s="10" t="s">
        <v>349</v>
      </c>
      <c r="B14" s="13">
        <f>B9</f>
      </c>
      <c r="C14" s="10" t="s">
        <v>31</v>
      </c>
    </row>
    <row r="15" spans="1:3" x14ac:dyDescent="0.25">
      <c r="A15" s="10" t="s">
        <v>350</v>
      </c>
      <c r="B15" s="13">
        <v>43611.56672150023</v>
      </c>
      <c r="C15" s="10" t="s">
        <v>351</v>
      </c>
    </row>
    <row r="16" spans="1:3" x14ac:dyDescent="0.25">
      <c r="A16" s="24" t="s">
        <v>352</v>
      </c>
      <c r="B16" s="20">
        <f>B12+B13+B14+B15</f>
      </c>
      <c r="C16" s="10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354</v>
      </c>
    </row>
    <row r="2" spans="1:1" x14ac:dyDescent="0.25">
      <c r="A2" t="s">
        <v>355</v>
      </c>
    </row>
    <row r="4" spans="1:3" x14ac:dyDescent="0.25">
      <c r="A4" s="23" t="s">
        <v>312</v>
      </c>
      <c r="B4" s="23" t="s">
        <v>356</v>
      </c>
      <c r="C4" s="23" t="s">
        <v>104</v>
      </c>
    </row>
    <row r="5" spans="1:3" x14ac:dyDescent="0.25">
      <c r="A5" s="10" t="s">
        <v>357</v>
      </c>
      <c r="B5" s="13">
        <v>1355348.936</v>
      </c>
      <c r="C5" s="10" t="s">
        <v>31</v>
      </c>
    </row>
    <row r="6" spans="1:3" x14ac:dyDescent="0.25">
      <c r="A6" s="10" t="s">
        <v>358</v>
      </c>
      <c r="B6" s="13">
        <v>3843706.32751</v>
      </c>
      <c r="C6" s="10" t="s">
        <v>31</v>
      </c>
    </row>
    <row r="7" spans="1:3" x14ac:dyDescent="0.25">
      <c r="A7" s="10" t="s">
        <v>359</v>
      </c>
      <c r="B7" s="13">
        <v>827971.6465922997</v>
      </c>
      <c r="C7" s="10" t="s">
        <v>31</v>
      </c>
    </row>
    <row r="8" spans="1:3" x14ac:dyDescent="0.25">
      <c r="A8" s="10" t="s">
        <v>360</v>
      </c>
      <c r="B8" s="13">
        <v>482162.152808184</v>
      </c>
      <c r="C8" s="10" t="s">
        <v>31</v>
      </c>
    </row>
    <row r="9" spans="1:3" x14ac:dyDescent="0.25">
      <c r="A9" s="10" t="s">
        <v>361</v>
      </c>
      <c r="B9" s="13">
        <v>2213124.2813895643</v>
      </c>
      <c r="C9" s="10" t="s">
        <v>31</v>
      </c>
    </row>
    <row r="10" spans="1:3" x14ac:dyDescent="0.25">
      <c r="A10" s="10" t="s">
        <v>362</v>
      </c>
      <c r="B10" s="13">
        <v>8722313.344300047</v>
      </c>
      <c r="C10" s="10" t="s">
        <v>31</v>
      </c>
    </row>
    <row r="11" spans="1:3" x14ac:dyDescent="0.25">
      <c r="A11" s="10" t="s">
        <v>363</v>
      </c>
      <c r="B11" s="13">
        <v>216411.56672150025</v>
      </c>
      <c r="C11" s="10" t="s">
        <v>31</v>
      </c>
    </row>
    <row r="12" spans="1:3" x14ac:dyDescent="0.25">
      <c r="A12" s="10" t="s">
        <v>364</v>
      </c>
      <c r="B12" s="13">
        <v>8938724.911021547</v>
      </c>
      <c r="C12" s="10" t="s">
        <v>31</v>
      </c>
    </row>
    <row r="13" spans="1:3" x14ac:dyDescent="0.25">
      <c r="A13" s="24" t="s">
        <v>365</v>
      </c>
      <c r="B13" s="20">
        <v>1787744.9822043097</v>
      </c>
      <c r="C13" s="10" t="s">
        <v>31</v>
      </c>
    </row>
    <row r="14" spans="1:3" x14ac:dyDescent="0.25">
      <c r="A14" s="25" t="s">
        <v>366</v>
      </c>
      <c r="B14" s="26">
        <v>10726469.893225856</v>
      </c>
      <c r="C14" s="10" t="s">
        <v>31</v>
      </c>
    </row>
    <row r="15" spans="1:3" x14ac:dyDescent="0.25">
      <c r="A15" s="10" t="s">
        <v>367</v>
      </c>
      <c r="B15" s="13">
        <v>255392.14031490136</v>
      </c>
      <c r="C15" s="10" t="s">
        <v>31</v>
      </c>
    </row>
    <row r="16" spans="1:3" x14ac:dyDescent="0.25">
      <c r="A16" s="10" t="s">
        <v>368</v>
      </c>
      <c r="B16" s="13">
        <v>306470.5683778816</v>
      </c>
      <c r="C16" s="10" t="s">
        <v>31</v>
      </c>
    </row>
    <row r="17" spans="1:3" x14ac:dyDescent="0.25">
      <c r="A17" s="24" t="s">
        <v>369</v>
      </c>
      <c r="B17" s="20">
        <v>1289859.2945197038</v>
      </c>
      <c r="C17" s="10" t="s">
        <v>370</v>
      </c>
    </row>
    <row r="18" spans="1:3" x14ac:dyDescent="0.25">
      <c r="A18" s="24" t="s">
        <v>371</v>
      </c>
      <c r="B18" s="20">
        <v>1547831.1534236446</v>
      </c>
      <c r="C18" s="10" t="s">
        <v>370</v>
      </c>
    </row>
    <row r="19" spans="1:3" x14ac:dyDescent="0.25">
      <c r="A19" s="10" t="s">
        <v>372</v>
      </c>
      <c r="B19" s="13">
        <v>154783.11534236444</v>
      </c>
      <c r="C19" s="10" t="s">
        <v>373</v>
      </c>
    </row>
    <row r="20" spans="1:3" x14ac:dyDescent="0.25">
      <c r="A20" s="10" t="s">
        <v>374</v>
      </c>
      <c r="B20" s="13">
        <v>185739.73841083734</v>
      </c>
      <c r="C20" s="10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375</v>
      </c>
    </row>
    <row r="3" spans="1:4" x14ac:dyDescent="0.25">
      <c r="A3" s="3" t="s">
        <v>86</v>
      </c>
      <c r="B3" s="3" t="s">
        <v>89</v>
      </c>
      <c r="C3" s="3" t="s">
        <v>376</v>
      </c>
      <c r="D3" s="3" t="s">
        <v>377</v>
      </c>
    </row>
    <row r="4" spans="1:4" x14ac:dyDescent="0.25">
      <c r="A4" t="s">
        <v>87</v>
      </c>
      <c r="B4" t="s">
        <v>90</v>
      </c>
      <c r="C4" t="s">
        <v>378</v>
      </c>
      <c r="D4" t="s">
        <v>379</v>
      </c>
    </row>
    <row r="5" spans="1:4" x14ac:dyDescent="0.25">
      <c r="A5" t="s">
        <v>380</v>
      </c>
      <c r="B5" t="s">
        <v>381</v>
      </c>
      <c r="C5" t="s">
        <v>382</v>
      </c>
      <c r="D5" t="s">
        <v>383</v>
      </c>
    </row>
    <row r="6" spans="1:4" x14ac:dyDescent="0.25">
      <c r="A6" t="s">
        <v>384</v>
      </c>
      <c r="B6" t="s">
        <v>385</v>
      </c>
      <c r="C6" t="s">
        <v>386</v>
      </c>
      <c r="D6" t="s">
        <v>387</v>
      </c>
    </row>
    <row r="7" spans="1:4" x14ac:dyDescent="0.25">
      <c r="A7" t="s">
        <v>388</v>
      </c>
      <c r="C7" t="s">
        <v>389</v>
      </c>
      <c r="D7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2026-04-05T13:19:47Z</dcterms:created>
  <dcterms:modified xsi:type="dcterms:W3CDTF">2026-04-05T13:19:47Z</dcterms:modified>
</cp:coreProperties>
</file>
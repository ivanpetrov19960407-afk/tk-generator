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<sst xmlns="http://schemas.openxmlformats.org/spreadsheetml/2006/main" count="529" uniqueCount="391">
  <si>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</si>
  <si>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</si>
  <si>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</si>
  <si>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Изделие индивидуальное, архитектурное 1-й категории, калиброванное с подбором по оттенку и зернистости с минимальным содержанием жил и микротрещин элемент высокоточного индивидуального изготовления из,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мрамор месторождения "Delikato_light"; обработка поверхности — лощение; размеры 1700×235×75мм (возможная подрезка изделия по месту под фактическую установку)</t>
  </si>
  <si>
    <t>Материал:</t>
  </si>
  <si>
    <t xml:space="preserve">Мрамор месторождения "Delikato_light" </t>
  </si>
  <si>
    <t>Размеры, мм:</t>
  </si>
  <si>
    <t>1700 × 235 × 75</t>
  </si>
  <si>
    <t>Количество:</t>
  </si>
  <si>
    <t>10 шт.</t>
  </si>
  <si>
    <t xml:space="preserve">Фактура поверхности </t>
  </si>
  <si>
    <t>Лощение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</si>
  <si>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</si>
  <si>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</si>
  <si>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</si>
  <si>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</si>
  <si>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</si>
  <si>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</si>
  <si>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</si>
  <si>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</si>
  <si>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</si>
  <si>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</si>
  <si>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</si>
  <si>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</si>
  <si>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</si>
  <si>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</si>
  <si>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</si>
  <si>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</si>
  <si>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</si>
  <si>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</si>
  <si>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</si>
  <si>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</si>
  <si>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</si>
  <si>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</si>
  <si>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</si>
  <si>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</si>
  <si>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</si>
  <si>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</si>
  <si>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</si>
  <si>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</si>
  <si>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</si>
  <si>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</si>
  <si>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</si>
  <si>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</si>
  <si>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</si>
  <si>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</si>
  <si>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</si>
  <si>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</si>
  <si>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</si>
  <si>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</si>
  <si>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</si>
  <si>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</si>
  <si>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</si>
  <si>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</si>
  <si>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</si>
  <si>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</si>
  <si>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</si>
  <si>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</si>
  <si>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</si>
  <si>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</si>
  <si>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</si>
  <si>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</si>
  <si>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</si>
  <si>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</si>
  <si>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</si>
  <si>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</si>
  <si>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</si>
  <si>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</si>
  <si>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</si>
  <si>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</si>
  <si>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</si>
  <si>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</si>
  <si>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</si>
  <si>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</si>
  <si>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</si>
  <si>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</si>
  <si>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</si>
  <si>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</si>
  <si>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</si>
  <si>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</si>
  <si>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</si>
  <si>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</si>
  <si>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</si>
  <si>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</si>
  <si>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</si>
  <si>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</si>
  <si>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</si>
  <si>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</si>
  <si>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</si>
  <si>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</si>
  <si>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</si>
  <si>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</si>
  <si>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</si>
  <si>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</si>
  <si>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</si>
  <si>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</si>
  <si>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</si>
  <si>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</si>
  <si>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</si>
  <si>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</si>
  <si>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</si>
  <si>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1700×235×75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</si>
  <si>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</si>
  <si>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</si>
  <si>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</si>
  <si>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</si>
  <si>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</si>
  <si>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</si>
  <si>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</si>
  <si>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</si>
  <si>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</si>
  <si>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</si>
  <si>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</si>
  <si>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</si>
  <si>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</si>
  <si>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</si>
  <si>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</si>
  <si>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</si>
  <si>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</si>
  <si>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</si>
  <si>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</si>
  <si>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</si>
  <si>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</si>
  <si>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</si>
  <si>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</si>
  <si>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</si>
  <si>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</si>
  <si>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</si>
  <si>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</si>
  <si>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</si>
  <si>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</si>
  <si>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</si>
  <si>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</si>
  <si>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</si>
  <si>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</si>
  <si>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</si>
  <si>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</si>
  <si>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</si>
  <si>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</si>
  <si>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</si>
  <si>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</si>
  <si>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</si>
  <si>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</si>
  <si>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</si>
  <si>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</si>
  <si>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</si>
  <si>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</si>
  <si>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</si>
  <si>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</si>
  <si>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</si>
  <si>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</si>
  <si>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</si>
  <si>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</si>
  <si>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</si>
  <si>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</si>
  <si>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"Delikato_light"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</si>
  <si>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</si>
  <si>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</si>
  <si>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</si>
  <si>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</si>
  <si>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</si>
  <si>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</si>
  <si>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</si>
  <si>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</si>
  <si>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</si>
  <si>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</si>
  <si>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</si>
  <si>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</si>
  <si>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</si>
  <si>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</si>
  <si>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</si>
  <si>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</si>
  <si>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</si>
  <si>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</si>
  <si>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</si>
  <si>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</si>
  <si>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</si>
  <si>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10 компл на 10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</si>
  <si>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</si>
  <si>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</si>
  <si>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</si>
  <si>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</si>
  <si>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</si>
  <si>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</si>
  <si>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</si>
  <si>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</si>
  <si>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</si>
  <si>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</si>
  <si>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</si>
  <si>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</si>
  <si>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</si>
  <si>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</si>
  <si>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</si>
  <si>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</si>
  <si>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</si>
  <si>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</si>
  <si>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</si>
  <si>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</si>
  <si>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</si>
  <si>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</si>
  <si>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</si>
  <si>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</si>
  <si>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</si>
  <si>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</si>
  <si>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</si>
  <si>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</si>
  <si>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</si>
  <si>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</si>
  <si>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</si>
  <si>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</si>
  <si>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</si>
  <si>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</si>
  <si>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</si>
  <si>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</si>
  <si>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</si>
  <si>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</si>
  <si>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</si>
  <si>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</si>
  <si>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</si>
  <si>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</si>
  <si>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</si>
  <si>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</si>
  <si>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</si>
  <si>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</si>
  <si>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</si>
  <si>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</si>
  <si>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</si>
  <si>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</si>
  <si>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</si>
  <si>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</si>
  <si>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</si>
  <si>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</si>
  <si>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</si>
  <si>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</si>
  <si>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</si>
  <si>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</si>
  <si>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</si>
  <si>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</si>
  <si>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</si>
  <si>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</si>
  <si>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</si>
  <si>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</si>
  <si>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</si>
  <si>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</si>
  <si>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</si>
  <si>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</si>
  <si>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</si>
  <si>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</si>
  <si>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</si>
  <si>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</si>
  <si>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</si>
  <si>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</si>
  <si>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</si>
  <si>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</si>
  <si>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</si>
  <si>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</si>
  <si>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</si>
  <si>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</si>
  <si>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</si>
  <si>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</si>
  <si>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</si>
  <si>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</si>
  <si>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</si>
  <si>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</si>
  <si>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</si>
  <si>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</si>
  <si>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</si>
  <si>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</si>
  <si>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</si>
  <si>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</si>
  <si>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</si>
  <si>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</si>
  <si>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</si>
  <si>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</si>
  <si>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</si>
  <si>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</si>
  <si>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</si>
  <si>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</si>
  <si>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</si>
  <si>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</si>
  <si>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</si>
  <si>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</si>
  <si>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</si>
  <si>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</si>
  <si>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</si>
  <si>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</si>
  <si>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</si>
  <si>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</si>
  <si>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</si>
  <si>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</si>
  <si>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</si>
  <si>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</si>
  <si>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</si>
  <si>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</si>
  <si>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</si>
  <si>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</si>
  <si>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</si>
  <si>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</si>
  <si>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</si>
  <si>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</si>
  <si>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</si>
  <si>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</si>
  <si>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</si>
  <si>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</si>
  <si>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</si>
  <si>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</si>
  <si>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</si>
  <si>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</si>
  <si>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</si>
  <si>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</si>
  <si>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</si>
  <si>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</si>
  <si>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</si>
  <si>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</si>
  <si>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</si>
  <si>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</si>
  <si>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</si>
  <si>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</si>
  <si>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</si>
  <si>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</si>
  <si>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</si>
  <si>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</si>
  <si>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</si>
  <si>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</si>
  <si>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</si>
  <si>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</si>
  <si>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</si>
  <si>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</si>
  <si>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</si>
  <si>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</si>
  <si>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</si>
  <si>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</si>
  <si>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</si>
  <si>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</si>
  <si>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</si>
  <si>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</si>
  <si>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</si>
  <si>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</si>
  <si>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</si>
  <si>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</si>
  <si>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</si>
  <si>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</si>
  <si>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</si>
  <si>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</si>
  <si>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</si>
  <si>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</si>
  <si>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</si>
  <si>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</si>
  <si>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</si>
  <si>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</si>
  <si>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</si>
  <si>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</si>
  <si>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</si>
  <si>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</si>
  <si>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</si>
  <si>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10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</si>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</sst>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2700</v>
      </c>
    </row>
    <row r="6" spans="1:5" x14ac:dyDescent="0.25">
      <c r="A6" t="s">
        <v>42</v>
      </c>
      <c r="B6" s="5">
        <v>10</v>
      </c>
      <c r="D6" t="s">
        <v>43</v>
      </c>
      <c r="E6" s="5">
        <v>1.2</v>
      </c>
    </row>
    <row r="7" spans="1:5" x14ac:dyDescent="0.25">
      <c r="A7" t="s">
        <v>44</v>
      </c>
      <c r="B7" s="5">
        <v>1700</v>
      </c>
      <c r="D7" t="s">
        <v>45</v>
      </c>
      <c r="E7" s="5">
        <v>2</v>
      </c>
    </row>
    <row r="8" spans="1:5" x14ac:dyDescent="0.25">
      <c r="A8" t="s">
        <v>46</v>
      </c>
      <c r="B8" s="5">
        <v>235</v>
      </c>
      <c r="D8" t="s">
        <v>47</v>
      </c>
      <c r="E8" s="5">
        <v>1.05</v>
      </c>
    </row>
    <row r="9" spans="1:5" x14ac:dyDescent="0.25">
      <c r="A9" t="s">
        <v>48</v>
      </c>
      <c r="B9" s="5">
        <v>75</v>
      </c>
      <c r="D9" t="s">
        <v>49</v>
      </c>
      <c r="E9" s="5">
        <v>642000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0.39949999999999997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1.7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1.7</v>
      </c>
      <c r="C5" s="10" t="s">
        <v>107</v>
      </c>
      <c r="E5" s="10" t="s">
        <v>108</v>
      </c>
      <c r="F5" s="12">
        <v>1.2</v>
      </c>
    </row>
    <row r="6" spans="1:6" x14ac:dyDescent="0.25">
      <c r="A6" s="10" t="s">
        <v>109</v>
      </c>
      <c r="B6" s="12">
        <v>0.235</v>
      </c>
      <c r="C6" s="10" t="s">
        <v>107</v>
      </c>
      <c r="E6" s="10" t="s">
        <v>110</v>
      </c>
      <c r="F6" s="12">
        <v>2</v>
      </c>
    </row>
    <row r="7" spans="1:6" x14ac:dyDescent="0.25">
      <c r="A7" s="10" t="s">
        <v>111</v>
      </c>
      <c r="B7" s="12">
        <v>0.075</v>
      </c>
      <c r="C7" s="10" t="s">
        <v>107</v>
      </c>
      <c r="E7" s="10" t="s">
        <v>112</v>
      </c>
      <c r="F7" s="12">
        <v>1.05</v>
      </c>
    </row>
    <row r="8" spans="1:6" x14ac:dyDescent="0.25">
      <c r="A8" s="10" t="s">
        <v>113</v>
      </c>
      <c r="B8" s="12">
        <v>0.029962499999999996</v>
      </c>
      <c r="C8" s="10" t="s">
        <v>114</v>
      </c>
      <c r="E8" s="10" t="s">
        <v>115</v>
      </c>
      <c r="F8" s="12">
        <v>0.755055</v>
      </c>
    </row>
    <row r="9" spans="1:6" x14ac:dyDescent="0.25">
      <c r="A9" s="10" t="s">
        <v>116</v>
      </c>
      <c r="B9" s="12">
        <v>0.39949999999999997</v>
      </c>
      <c r="C9" s="10" t="s">
        <v>117</v>
      </c>
      <c r="E9" s="10" t="s">
        <v>118</v>
      </c>
      <c r="F9" s="12">
        <v>0.0755055</v>
      </c>
    </row>
    <row r="10" spans="1:6" x14ac:dyDescent="0.25">
      <c r="A10" s="10" t="s">
        <v>119</v>
      </c>
      <c r="B10" s="12">
        <v>0.39949999999999997</v>
      </c>
      <c r="C10" s="10" t="s">
        <v>117</v>
      </c>
      <c r="E10" s="10" t="s">
        <v>120</v>
      </c>
      <c r="F10" s="13">
        <v>484745.31</v>
      </c>
    </row>
    <row r="11" spans="1:6" x14ac:dyDescent="0.25">
      <c r="A11" s="10" t="s">
        <v>121</v>
      </c>
      <c r="B11" s="12">
        <v>0.1275</v>
      </c>
      <c r="C11" s="10" t="s">
        <v>122</v>
      </c>
      <c r="E11" s="10" t="s">
        <v>123</v>
      </c>
      <c r="F11" s="13">
        <v>48474.531</v>
      </c>
    </row>
    <row r="12" spans="1:3" x14ac:dyDescent="0.25">
      <c r="A12" s="10" t="s">
        <v>124</v>
      </c>
      <c r="B12" s="12">
        <v>0.1275</v>
      </c>
      <c r="C12" s="10" t="s">
        <v>122</v>
      </c>
    </row>
    <row r="13" spans="1:3" x14ac:dyDescent="0.25">
      <c r="A13" s="10" t="s">
        <v>125</v>
      </c>
      <c r="B13" s="12">
        <v>0.03525</v>
      </c>
      <c r="C13" s="10" t="s">
        <v>126</v>
      </c>
    </row>
    <row r="14" spans="1:3" x14ac:dyDescent="0.25">
      <c r="A14" s="10" t="s">
        <v>127</v>
      </c>
      <c r="B14" s="11">
        <v>1.0892499999999998</v>
      </c>
      <c r="C14" s="10" t="s">
        <v>128</v>
      </c>
    </row>
    <row r="15" spans="1:3" x14ac:dyDescent="0.25">
      <c r="A15" s="10" t="s">
        <v>129</v>
      </c>
      <c r="B15" s="11">
        <v>2.17</v>
      </c>
      <c r="C15" s="10" t="s">
        <v>130</v>
      </c>
    </row>
    <row r="16" spans="1:3" x14ac:dyDescent="0.25">
      <c r="A16" s="10" t="s">
        <v>131</v>
      </c>
      <c r="B16" s="11">
        <v>8.040000000000001</v>
      </c>
      <c r="C16" s="10" t="s">
        <v>132</v>
      </c>
    </row>
    <row r="17" spans="1:3" x14ac:dyDescent="0.25">
      <c r="A17" s="10" t="s">
        <v>133</v>
      </c>
      <c r="B17" s="11">
        <v>80.89874999999999</v>
      </c>
      <c r="C17" s="10" t="s">
        <v>134</v>
      </c>
    </row>
    <row r="18" spans="1:3" x14ac:dyDescent="0.25">
      <c r="A18" s="10" t="s">
        <v>42</v>
      </c>
      <c r="B18" s="11">
        <v>10</v>
      </c>
      <c r="C18" s="10" t="s">
        <v>31</v>
      </c>
    </row>
    <row r="19" spans="1:3" x14ac:dyDescent="0.25">
      <c r="A19" s="10" t="s">
        <v>135</v>
      </c>
      <c r="B19" s="12">
        <v>0.299625</v>
      </c>
      <c r="C19" s="10" t="s">
        <v>136</v>
      </c>
    </row>
    <row r="20" spans="1:3" x14ac:dyDescent="0.25">
      <c r="A20" s="10" t="s">
        <v>137</v>
      </c>
      <c r="B20" s="11">
        <v>808.9875</v>
      </c>
      <c r="C20" s="10" t="s">
        <v>138</v>
      </c>
    </row>
    <row r="22" spans="1:3" x14ac:dyDescent="0.25">
      <c r="A22" t="s">
        <v>139</v>
      </c>
      <c r="B22" s="14">
        <v>0.39949999999999997</v>
      </c>
      <c r="C22" t="s">
        <v>140</v>
      </c>
    </row>
    <row r="23" spans="1:3" x14ac:dyDescent="0.25">
      <c r="A23" t="s">
        <v>141</v>
      </c>
      <c r="B23" s="14">
        <v>1.7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0.755055</v>
      </c>
      <c r="E5" s="18">
        <v>642000</v>
      </c>
      <c r="F5" s="13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3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3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0</v>
      </c>
      <c r="E8" s="18">
        <v>8500</v>
      </c>
      <c r="F8" s="13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10</v>
      </c>
      <c r="E9" s="18">
        <v>6500</v>
      </c>
      <c r="F9" s="13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10</v>
      </c>
      <c r="E10" s="18">
        <v>1200</v>
      </c>
      <c r="F10" s="13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10</v>
      </c>
      <c r="E11" s="18">
        <v>800</v>
      </c>
      <c r="F11" s="13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10</v>
      </c>
      <c r="E12" s="18">
        <v>18000</v>
      </c>
      <c r="F12" s="13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10</v>
      </c>
      <c r="E13" s="18">
        <v>1500</v>
      </c>
      <c r="F13" s="13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10</v>
      </c>
      <c r="E14" s="18">
        <v>600</v>
      </c>
      <c r="F14" s="13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15</v>
      </c>
      <c r="J5" s="13">
        <v>243.9</v>
      </c>
      <c r="K5" s="13">
        <f>I5*J5</f>
      </c>
      <c r="L5" s="13">
        <f>K5*0.302</f>
      </c>
      <c r="M5" s="22">
        <v>0.3</v>
      </c>
      <c r="N5" s="10">
        <v>3</v>
      </c>
      <c r="O5" s="13">
        <v>2000</v>
      </c>
      <c r="P5" s="13">
        <f>N5*O5</f>
      </c>
      <c r="Q5" s="10">
        <v>5</v>
      </c>
      <c r="R5" s="10">
        <f>Q5*M5</f>
      </c>
      <c r="S5" s="13">
        <f>Q5*N5*12</f>
      </c>
      <c r="T5" s="13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25</v>
      </c>
      <c r="J6" s="13">
        <v>243.9</v>
      </c>
      <c r="K6" s="13">
        <f>I6*J6</f>
      </c>
      <c r="L6" s="13">
        <f>K6*0.302</f>
      </c>
      <c r="M6" s="22">
        <v>0</v>
      </c>
      <c r="N6" s="10">
        <v>0</v>
      </c>
      <c r="O6" s="13">
        <v>0</v>
      </c>
      <c r="P6" s="13">
        <f>N6*O6</f>
      </c>
      <c r="Q6" s="10">
        <v>0</v>
      </c>
      <c r="R6" s="10">
        <f>Q6*M6</f>
      </c>
      <c r="S6" s="13">
        <f>Q6*N6*12</f>
      </c>
      <c r="T6" s="13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18</v>
      </c>
      <c r="J7" s="13">
        <v>243.9</v>
      </c>
      <c r="K7" s="13">
        <f>I7*J7</f>
      </c>
      <c r="L7" s="13">
        <f>K7*0.302</f>
      </c>
      <c r="M7" s="22">
        <v>0</v>
      </c>
      <c r="N7" s="10">
        <v>0</v>
      </c>
      <c r="O7" s="13">
        <v>0</v>
      </c>
      <c r="P7" s="13">
        <f>N7*O7</f>
      </c>
      <c r="Q7" s="10">
        <v>0</v>
      </c>
      <c r="R7" s="10">
        <f>Q7*M7</f>
      </c>
      <c r="S7" s="13">
        <f>Q7*N7*12</f>
      </c>
      <c r="T7" s="13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12</v>
      </c>
      <c r="J8" s="13">
        <v>152.44</v>
      </c>
      <c r="K8" s="13">
        <f>I8*J8</f>
      </c>
      <c r="L8" s="13">
        <f>K8*0.302</f>
      </c>
      <c r="M8" s="22">
        <v>0.5</v>
      </c>
      <c r="N8" s="10">
        <v>5</v>
      </c>
      <c r="O8" s="13">
        <v>2000</v>
      </c>
      <c r="P8" s="13">
        <f>N8*O8</f>
      </c>
      <c r="Q8" s="10">
        <v>5</v>
      </c>
      <c r="R8" s="10">
        <f>Q8*M8</f>
      </c>
      <c r="S8" s="13">
        <f>Q8*N8*12</f>
      </c>
      <c r="T8" s="13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32</v>
      </c>
      <c r="J9" s="13">
        <v>176.83</v>
      </c>
      <c r="K9" s="13">
        <f>I9*J9</f>
      </c>
      <c r="L9" s="13">
        <f>K9*0.302</f>
      </c>
      <c r="M9" s="22">
        <v>2</v>
      </c>
      <c r="N9" s="10">
        <v>20</v>
      </c>
      <c r="O9" s="13">
        <v>6500</v>
      </c>
      <c r="P9" s="13">
        <f>N9*O9</f>
      </c>
      <c r="Q9" s="10">
        <v>25</v>
      </c>
      <c r="R9" s="10">
        <f>Q9*M9</f>
      </c>
      <c r="S9" s="13">
        <f>Q9*N9*12</f>
      </c>
      <c r="T9" s="13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10</v>
      </c>
      <c r="J10" s="13">
        <v>243.9</v>
      </c>
      <c r="K10" s="13">
        <f>I10*J10</f>
      </c>
      <c r="L10" s="13">
        <f>K10*0.302</f>
      </c>
      <c r="M10" s="22">
        <v>0</v>
      </c>
      <c r="N10" s="10">
        <v>0</v>
      </c>
      <c r="O10" s="13">
        <v>0</v>
      </c>
      <c r="P10" s="13">
        <f>N10*O10</f>
      </c>
      <c r="Q10" s="10">
        <v>0</v>
      </c>
      <c r="R10" s="10">
        <f>Q10*M10</f>
      </c>
      <c r="S10" s="13">
        <f>Q10*N10*12</f>
      </c>
      <c r="T10" s="13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28</v>
      </c>
      <c r="J11" s="13">
        <v>176.83</v>
      </c>
      <c r="K11" s="13">
        <f>I11*J11</f>
      </c>
      <c r="L11" s="13">
        <f>K11*0.302</f>
      </c>
      <c r="M11" s="22">
        <v>1.6</v>
      </c>
      <c r="N11" s="10">
        <v>16</v>
      </c>
      <c r="O11" s="13">
        <v>6500</v>
      </c>
      <c r="P11" s="13">
        <f>N11*O11</f>
      </c>
      <c r="Q11" s="10">
        <v>25</v>
      </c>
      <c r="R11" s="10">
        <f>Q11*M11</f>
      </c>
      <c r="S11" s="13">
        <f>Q11*N11*12</f>
      </c>
      <c r="T11" s="13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40</v>
      </c>
      <c r="J12" s="13">
        <v>176.83</v>
      </c>
      <c r="K12" s="13">
        <f>I12*J12</f>
      </c>
      <c r="L12" s="13">
        <f>K12*0.302</f>
      </c>
      <c r="M12" s="22">
        <v>2.4</v>
      </c>
      <c r="N12" s="10">
        <v>24</v>
      </c>
      <c r="O12" s="13">
        <v>7000</v>
      </c>
      <c r="P12" s="13">
        <f>N12*O12</f>
      </c>
      <c r="Q12" s="10">
        <v>30</v>
      </c>
      <c r="R12" s="10">
        <f>Q12*M12</f>
      </c>
      <c r="S12" s="13">
        <f>Q12*N12*12</f>
      </c>
      <c r="T12" s="13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12</v>
      </c>
      <c r="J13" s="13">
        <v>243.9</v>
      </c>
      <c r="K13" s="13">
        <f>I13*J13</f>
      </c>
      <c r="L13" s="13">
        <f>K13*0.302</f>
      </c>
      <c r="M13" s="22">
        <v>0</v>
      </c>
      <c r="N13" s="10">
        <v>0</v>
      </c>
      <c r="O13" s="13">
        <v>0</v>
      </c>
      <c r="P13" s="13">
        <f>N13*O13</f>
      </c>
      <c r="Q13" s="10">
        <v>0</v>
      </c>
      <c r="R13" s="10">
        <f>Q13*M13</f>
      </c>
      <c r="S13" s="13">
        <f>Q13*N13*12</f>
      </c>
      <c r="T13" s="13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16</v>
      </c>
      <c r="J14" s="13">
        <v>243.9</v>
      </c>
      <c r="K14" s="13">
        <f>I14*J14</f>
      </c>
      <c r="L14" s="13">
        <f>K14*0.302</f>
      </c>
      <c r="M14" s="22">
        <v>0.6</v>
      </c>
      <c r="N14" s="10">
        <v>6</v>
      </c>
      <c r="O14" s="13">
        <v>8500</v>
      </c>
      <c r="P14" s="13">
        <f>N14*O14</f>
      </c>
      <c r="Q14" s="10">
        <v>35</v>
      </c>
      <c r="R14" s="10">
        <f>Q14*M14</f>
      </c>
      <c r="S14" s="13">
        <f>Q14*N14*12</f>
      </c>
      <c r="T14" s="13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34</v>
      </c>
      <c r="J15" s="13">
        <v>176.83</v>
      </c>
      <c r="K15" s="13">
        <f>I15*J15</f>
      </c>
      <c r="L15" s="13">
        <f>K15*0.302</f>
      </c>
      <c r="M15" s="22">
        <v>2</v>
      </c>
      <c r="N15" s="10">
        <v>20</v>
      </c>
      <c r="O15" s="13">
        <v>8500</v>
      </c>
      <c r="P15" s="13">
        <f>N15*O15</f>
      </c>
      <c r="Q15" s="10">
        <v>35</v>
      </c>
      <c r="R15" s="10">
        <f>Q15*M15</f>
      </c>
      <c r="S15" s="13">
        <f>Q15*N15*12</f>
      </c>
      <c r="T15" s="13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10</v>
      </c>
      <c r="J16" s="13">
        <v>152.44</v>
      </c>
      <c r="K16" s="13">
        <f>I16*J16</f>
      </c>
      <c r="L16" s="13">
        <f>K16*0.302</f>
      </c>
      <c r="M16" s="22">
        <v>0.4</v>
      </c>
      <c r="N16" s="10">
        <v>4</v>
      </c>
      <c r="O16" s="13">
        <v>2000</v>
      </c>
      <c r="P16" s="13">
        <f>N16*O16</f>
      </c>
      <c r="Q16" s="10">
        <v>5</v>
      </c>
      <c r="R16" s="10">
        <f>Q16*M16</f>
      </c>
      <c r="S16" s="13">
        <f>Q16*N16*12</f>
      </c>
      <c r="T16" s="13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32</v>
      </c>
      <c r="J17" s="13">
        <v>176.83</v>
      </c>
      <c r="K17" s="13">
        <f>I17*J17</f>
      </c>
      <c r="L17" s="13">
        <f>K17*0.302</f>
      </c>
      <c r="M17" s="22">
        <v>1.4</v>
      </c>
      <c r="N17" s="10">
        <v>14</v>
      </c>
      <c r="O17" s="13">
        <v>7200</v>
      </c>
      <c r="P17" s="13">
        <f>N17*O17</f>
      </c>
      <c r="Q17" s="10">
        <v>20</v>
      </c>
      <c r="R17" s="10">
        <f>Q17*M17</f>
      </c>
      <c r="S17" s="13">
        <f>Q17*N17*12</f>
      </c>
      <c r="T17" s="13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40</v>
      </c>
      <c r="J18" s="13">
        <v>176.83</v>
      </c>
      <c r="K18" s="13">
        <f>I18*J18</f>
      </c>
      <c r="L18" s="13">
        <f>K18*0.302</f>
      </c>
      <c r="M18" s="22">
        <v>0</v>
      </c>
      <c r="N18" s="10">
        <v>0</v>
      </c>
      <c r="O18" s="13">
        <v>0</v>
      </c>
      <c r="P18" s="13">
        <f>N18*O18</f>
      </c>
      <c r="Q18" s="10">
        <v>0</v>
      </c>
      <c r="R18" s="10">
        <f>Q18*M18</f>
      </c>
      <c r="S18" s="13">
        <f>Q18*N18*12</f>
      </c>
      <c r="T18" s="13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30</v>
      </c>
      <c r="J19" s="13">
        <v>176.83</v>
      </c>
      <c r="K19" s="13">
        <f>I19*J19</f>
      </c>
      <c r="L19" s="13">
        <f>K19*0.302</f>
      </c>
      <c r="M19" s="22">
        <v>0</v>
      </c>
      <c r="N19" s="10">
        <v>0</v>
      </c>
      <c r="O19" s="13">
        <v>0</v>
      </c>
      <c r="P19" s="13">
        <f>N19*O19</f>
      </c>
      <c r="Q19" s="10">
        <v>0</v>
      </c>
      <c r="R19" s="10">
        <f>Q19*M19</f>
      </c>
      <c r="S19" s="13">
        <f>Q19*N19*12</f>
      </c>
      <c r="T19" s="13">
        <f>K19+L19+P19+S19</f>
      </c>
      <c r="U19" s="16" t="s">
        <v>276</v>
      </c>
    </row>
    <row r="20" spans="1:21" x14ac:dyDescent="0.25">
      <c r="A20" s="10">
        <v>20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</v>
      </c>
      <c r="I20" s="10">
        <v>10</v>
      </c>
      <c r="J20" s="13">
        <v>176.83</v>
      </c>
      <c r="K20" s="13">
        <f>I20*J20</f>
      </c>
      <c r="L20" s="13">
        <f>K20*0.302</f>
      </c>
      <c r="M20" s="22">
        <v>0</v>
      </c>
      <c r="N20" s="10">
        <v>0</v>
      </c>
      <c r="O20" s="13">
        <v>0</v>
      </c>
      <c r="P20" s="13">
        <f>N20*O20</f>
      </c>
      <c r="Q20" s="10">
        <v>0</v>
      </c>
      <c r="R20" s="10">
        <f>Q20*M20</f>
      </c>
      <c r="S20" s="13">
        <f>Q20*N20*12</f>
      </c>
      <c r="T20" s="13">
        <f>K20+L20+P20+S20</f>
      </c>
      <c r="U20" s="16" t="s">
        <v>280</v>
      </c>
    </row>
    <row r="21" spans="1:21" x14ac:dyDescent="0.25">
      <c r="A21" s="10">
        <v>21</v>
      </c>
      <c r="B21" s="16" t="s">
        <v>281</v>
      </c>
      <c r="C21" s="16" t="s">
        <v>282</v>
      </c>
      <c r="D21" s="10" t="s">
        <v>77</v>
      </c>
      <c r="E21" s="10" t="s">
        <v>70</v>
      </c>
      <c r="F21" s="10" t="s">
        <v>237</v>
      </c>
      <c r="G21" s="10" t="s">
        <v>238</v>
      </c>
      <c r="H21" s="22">
        <v>4</v>
      </c>
      <c r="I21" s="10">
        <v>40</v>
      </c>
      <c r="J21" s="13">
        <v>176.83</v>
      </c>
      <c r="K21" s="13">
        <f>I21*J21</f>
      </c>
      <c r="L21" s="13">
        <f>K21*0.302</f>
      </c>
      <c r="M21" s="22">
        <v>2.5</v>
      </c>
      <c r="N21" s="10">
        <v>25</v>
      </c>
      <c r="O21" s="13">
        <v>6000</v>
      </c>
      <c r="P21" s="13">
        <f>N21*O21</f>
      </c>
      <c r="Q21" s="10">
        <v>15</v>
      </c>
      <c r="R21" s="10">
        <f>Q21*M21</f>
      </c>
      <c r="S21" s="13">
        <f>Q21*N21*12</f>
      </c>
      <c r="T21" s="13">
        <f>K21+L21+P21+S21</f>
      </c>
      <c r="U21" s="16" t="s">
        <v>283</v>
      </c>
    </row>
    <row r="22" spans="1:21" x14ac:dyDescent="0.25">
      <c r="A22" s="10">
        <v>22</v>
      </c>
      <c r="B22" s="16" t="s">
        <v>284</v>
      </c>
      <c r="C22" s="16" t="s">
        <v>285</v>
      </c>
      <c r="D22" s="10" t="s">
        <v>31</v>
      </c>
      <c r="E22" s="10" t="s">
        <v>70</v>
      </c>
      <c r="F22" s="10" t="s">
        <v>272</v>
      </c>
      <c r="G22" s="10" t="s">
        <v>224</v>
      </c>
      <c r="H22" s="22">
        <v>2.5</v>
      </c>
      <c r="I22" s="10">
        <v>25</v>
      </c>
      <c r="J22" s="13">
        <v>176.83</v>
      </c>
      <c r="K22" s="13">
        <f>I22*J22</f>
      </c>
      <c r="L22" s="13">
        <f>K22*0.302</f>
      </c>
      <c r="M22" s="22">
        <v>0</v>
      </c>
      <c r="N22" s="10">
        <v>0</v>
      </c>
      <c r="O22" s="13">
        <v>0</v>
      </c>
      <c r="P22" s="13">
        <f>N22*O22</f>
      </c>
      <c r="Q22" s="10">
        <v>0</v>
      </c>
      <c r="R22" s="10">
        <f>Q22*M22</f>
      </c>
      <c r="S22" s="13">
        <f>Q22*N22*12</f>
      </c>
      <c r="T22" s="13">
        <f>K22+L22+P22+S22</f>
      </c>
      <c r="U22" s="16" t="s">
        <v>286</v>
      </c>
    </row>
    <row r="23" spans="1:21" x14ac:dyDescent="0.25">
      <c r="A23" s="10">
        <v>23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279</v>
      </c>
      <c r="G23" s="10" t="s">
        <v>224</v>
      </c>
      <c r="H23" s="22">
        <v>1</v>
      </c>
      <c r="I23" s="10">
        <v>10</v>
      </c>
      <c r="J23" s="13">
        <v>176.83</v>
      </c>
      <c r="K23" s="13">
        <f>I23*J23</f>
      </c>
      <c r="L23" s="13">
        <f>K23*0.302</f>
      </c>
      <c r="M23" s="22">
        <v>0</v>
      </c>
      <c r="N23" s="10">
        <v>0</v>
      </c>
      <c r="O23" s="13">
        <v>0</v>
      </c>
      <c r="P23" s="13">
        <f>N23*O23</f>
      </c>
      <c r="Q23" s="10">
        <v>0</v>
      </c>
      <c r="R23" s="10">
        <f>Q23*M23</f>
      </c>
      <c r="S23" s="13">
        <f>Q23*N23*12</f>
      </c>
      <c r="T23" s="13">
        <f>K23+L23+P23+S23</f>
      </c>
      <c r="U23" s="16" t="s">
        <v>289</v>
      </c>
    </row>
    <row r="24" spans="1:21" x14ac:dyDescent="0.25">
      <c r="A24" s="10">
        <v>24</v>
      </c>
      <c r="B24" s="16" t="s">
        <v>290</v>
      </c>
      <c r="C24" s="16" t="s">
        <v>291</v>
      </c>
      <c r="D24" s="10" t="s">
        <v>31</v>
      </c>
      <c r="E24" s="10" t="s">
        <v>64</v>
      </c>
      <c r="F24" s="10" t="s">
        <v>242</v>
      </c>
      <c r="G24" s="10" t="s">
        <v>224</v>
      </c>
      <c r="H24" s="22">
        <v>2</v>
      </c>
      <c r="I24" s="10">
        <v>20</v>
      </c>
      <c r="J24" s="13">
        <v>243.9</v>
      </c>
      <c r="K24" s="13">
        <f>I24*J24</f>
      </c>
      <c r="L24" s="13">
        <f>K24*0.302</f>
      </c>
      <c r="M24" s="22">
        <v>0</v>
      </c>
      <c r="N24" s="10">
        <v>0</v>
      </c>
      <c r="O24" s="13">
        <v>0</v>
      </c>
      <c r="P24" s="13">
        <f>N24*O24</f>
      </c>
      <c r="Q24" s="10">
        <v>0</v>
      </c>
      <c r="R24" s="10">
        <f>Q24*M24</f>
      </c>
      <c r="S24" s="13">
        <f>Q24*N24*12</f>
      </c>
      <c r="T24" s="13">
        <f>K24+L24+P24+S24</f>
      </c>
      <c r="U24" s="16" t="s">
        <v>292</v>
      </c>
    </row>
    <row r="25" spans="1:21" x14ac:dyDescent="0.25">
      <c r="A25" s="10">
        <v>25</v>
      </c>
      <c r="B25" s="16" t="s">
        <v>293</v>
      </c>
      <c r="C25" s="16" t="s">
        <v>294</v>
      </c>
      <c r="D25" s="10" t="s">
        <v>31</v>
      </c>
      <c r="E25" s="10" t="s">
        <v>64</v>
      </c>
      <c r="F25" s="10" t="s">
        <v>295</v>
      </c>
      <c r="G25" s="10" t="s">
        <v>224</v>
      </c>
      <c r="H25" s="22">
        <v>1</v>
      </c>
      <c r="I25" s="10">
        <v>10</v>
      </c>
      <c r="J25" s="13">
        <v>243.9</v>
      </c>
      <c r="K25" s="13">
        <f>I25*J25</f>
      </c>
      <c r="L25" s="13">
        <f>K25*0.302</f>
      </c>
      <c r="M25" s="22">
        <v>0</v>
      </c>
      <c r="N25" s="10">
        <v>0</v>
      </c>
      <c r="O25" s="13">
        <v>0</v>
      </c>
      <c r="P25" s="13">
        <f>N25*O25</f>
      </c>
      <c r="Q25" s="10">
        <v>0</v>
      </c>
      <c r="R25" s="10">
        <f>Q25*M25</f>
      </c>
      <c r="S25" s="13">
        <f>Q25*N25*12</f>
      </c>
      <c r="T25" s="13">
        <f>K25+L25+P25+S25</f>
      </c>
      <c r="U25" s="16" t="s">
        <v>296</v>
      </c>
    </row>
    <row r="26" spans="1:21" x14ac:dyDescent="0.25">
      <c r="A26" s="10">
        <v>26</v>
      </c>
      <c r="B26" s="16" t="s">
        <v>297</v>
      </c>
      <c r="C26" s="16" t="s">
        <v>298</v>
      </c>
      <c r="D26" s="10" t="s">
        <v>31</v>
      </c>
      <c r="E26" s="10" t="s">
        <v>76</v>
      </c>
      <c r="F26" s="10" t="s">
        <v>299</v>
      </c>
      <c r="G26" s="10" t="s">
        <v>224</v>
      </c>
      <c r="H26" s="22">
        <v>4.5</v>
      </c>
      <c r="I26" s="10">
        <v>45</v>
      </c>
      <c r="J26" s="13">
        <v>152.44</v>
      </c>
      <c r="K26" s="13">
        <f>I26*J26</f>
      </c>
      <c r="L26" s="13">
        <f>K26*0.302</f>
      </c>
      <c r="M26" s="22">
        <v>0</v>
      </c>
      <c r="N26" s="10">
        <v>0</v>
      </c>
      <c r="O26" s="13">
        <v>0</v>
      </c>
      <c r="P26" s="13">
        <f>N26*O26</f>
      </c>
      <c r="Q26" s="10">
        <v>0</v>
      </c>
      <c r="R26" s="10">
        <f>Q26*M26</f>
      </c>
      <c r="S26" s="13">
        <f>Q26*N26*12</f>
      </c>
      <c r="T26" s="13">
        <f>K26+L26+P26+S26</f>
      </c>
      <c r="U26" s="16" t="s">
        <v>300</v>
      </c>
    </row>
    <row r="27" spans="1:21" x14ac:dyDescent="0.25">
      <c r="A27" s="10">
        <v>27</v>
      </c>
      <c r="B27" s="16" t="s">
        <v>301</v>
      </c>
      <c r="C27" s="16" t="s">
        <v>302</v>
      </c>
      <c r="D27" s="10" t="s">
        <v>80</v>
      </c>
      <c r="E27" s="10" t="s">
        <v>76</v>
      </c>
      <c r="F27" s="10" t="s">
        <v>303</v>
      </c>
      <c r="G27" s="10" t="s">
        <v>219</v>
      </c>
      <c r="H27" s="22">
        <v>3</v>
      </c>
      <c r="I27" s="10">
        <v>30</v>
      </c>
      <c r="J27" s="13">
        <v>152.44</v>
      </c>
      <c r="K27" s="13">
        <f>I27*J27</f>
      </c>
      <c r="L27" s="13">
        <f>K27*0.302</f>
      </c>
      <c r="M27" s="22">
        <v>0.6</v>
      </c>
      <c r="N27" s="10">
        <v>6</v>
      </c>
      <c r="O27" s="13">
        <v>2000</v>
      </c>
      <c r="P27" s="13">
        <f>N27*O27</f>
      </c>
      <c r="Q27" s="10">
        <v>5</v>
      </c>
      <c r="R27" s="10">
        <f>Q27*M27</f>
      </c>
      <c r="S27" s="13">
        <f>Q27*N27*12</f>
      </c>
      <c r="T27" s="13">
        <f>K27+L27+P27+S27</f>
      </c>
      <c r="U27" s="16" t="s">
        <v>304</v>
      </c>
    </row>
    <row r="28" spans="1:21" x14ac:dyDescent="0.25">
      <c r="A28" s="10">
        <v>28</v>
      </c>
      <c r="B28" s="16" t="s">
        <v>305</v>
      </c>
      <c r="C28" s="16" t="s">
        <v>306</v>
      </c>
      <c r="D28" s="10" t="s">
        <v>80</v>
      </c>
      <c r="E28" s="10" t="s">
        <v>76</v>
      </c>
      <c r="F28" s="10" t="s">
        <v>307</v>
      </c>
      <c r="G28" s="10" t="s">
        <v>233</v>
      </c>
      <c r="H28" s="22">
        <v>1.8</v>
      </c>
      <c r="I28" s="10">
        <v>18</v>
      </c>
      <c r="J28" s="13">
        <v>152.44</v>
      </c>
      <c r="K28" s="13">
        <f>I28*J28</f>
      </c>
      <c r="L28" s="13">
        <f>K28*0.302</f>
      </c>
      <c r="M28" s="22">
        <v>0.6</v>
      </c>
      <c r="N28" s="10">
        <v>6</v>
      </c>
      <c r="O28" s="13">
        <v>2000</v>
      </c>
      <c r="P28" s="13">
        <f>N28*O28</f>
      </c>
      <c r="Q28" s="10">
        <v>5</v>
      </c>
      <c r="R28" s="10">
        <f>Q28*M28</f>
      </c>
      <c r="S28" s="13">
        <f>Q28*N28*12</f>
      </c>
      <c r="T28" s="13">
        <f>K28+L28+P28+S28</f>
      </c>
      <c r="U28" s="16" t="s">
        <v>308</v>
      </c>
    </row>
    <row r="30" spans="2:20" x14ac:dyDescent="0.25">
      <c r="B30" s="3" t="s">
        <v>309</v>
      </c>
      <c r="G30" t="s">
        <v>224</v>
      </c>
      <c r="H30" s="20">
        <f>SUM(H5:H28)</f>
      </c>
      <c r="I30" s="20">
        <f>SUM(I5:I28)</f>
      </c>
      <c r="J30" t="s">
        <v>224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310</v>
      </c>
    </row>
    <row r="2" spans="1:1" x14ac:dyDescent="0.25">
      <c r="A2" t="s">
        <v>311</v>
      </c>
    </row>
    <row r="4" spans="1:3" x14ac:dyDescent="0.25">
      <c r="A4" s="23" t="s">
        <v>312</v>
      </c>
      <c r="B4" s="23" t="s">
        <v>103</v>
      </c>
      <c r="C4" s="23" t="s">
        <v>313</v>
      </c>
    </row>
    <row r="5" spans="1:3" x14ac:dyDescent="0.25">
      <c r="A5" s="10" t="s">
        <v>314</v>
      </c>
      <c r="B5" s="13">
        <v>788745.31</v>
      </c>
      <c r="C5" s="10" t="s">
        <v>315</v>
      </c>
    </row>
    <row r="6" spans="1:3" x14ac:dyDescent="0.25">
      <c r="A6" s="10" t="s">
        <v>316</v>
      </c>
      <c r="B6" s="13">
        <v>1098201.80786</v>
      </c>
      <c r="C6" s="10" t="s">
        <v>317</v>
      </c>
    </row>
    <row r="7" spans="1:3" x14ac:dyDescent="0.25">
      <c r="A7" s="10" t="s">
        <v>318</v>
      </c>
      <c r="B7" s="13">
        <v>136741.80786</v>
      </c>
      <c r="C7" s="10" t="s">
        <v>319</v>
      </c>
    </row>
    <row r="8" spans="1:3" x14ac:dyDescent="0.25">
      <c r="A8" s="10" t="s">
        <v>320</v>
      </c>
      <c r="B8" s="13">
        <v>236563.3275978</v>
      </c>
      <c r="C8" s="10" t="s">
        <v>321</v>
      </c>
    </row>
    <row r="9" spans="1:3" x14ac:dyDescent="0.25">
      <c r="A9" s="10" t="s">
        <v>322</v>
      </c>
      <c r="B9" s="13">
        <v>2123510.4454578003</v>
      </c>
      <c r="C9" s="10" t="s">
        <v>323</v>
      </c>
    </row>
    <row r="10" spans="1:3" x14ac:dyDescent="0.25">
      <c r="A10" s="10" t="s">
        <v>324</v>
      </c>
      <c r="B10" s="13">
        <v>169880.83563662402</v>
      </c>
      <c r="C10" s="10" t="s">
        <v>325</v>
      </c>
    </row>
    <row r="11" spans="1:3" x14ac:dyDescent="0.25">
      <c r="A11" s="10" t="s">
        <v>326</v>
      </c>
      <c r="B11" s="13">
        <v>2293391.2810944244</v>
      </c>
      <c r="C11" s="10" t="s">
        <v>31</v>
      </c>
    </row>
    <row r="12" spans="1:3" x14ac:dyDescent="0.25">
      <c r="A12" s="10" t="s">
        <v>327</v>
      </c>
      <c r="B12" s="13">
        <v>779753.0355721044</v>
      </c>
      <c r="C12" s="10" t="s">
        <v>328</v>
      </c>
    </row>
    <row r="13" spans="1:3" x14ac:dyDescent="0.25">
      <c r="A13" s="24" t="s">
        <v>329</v>
      </c>
      <c r="B13" s="20">
        <v>3073144.3166665286</v>
      </c>
      <c r="C13" s="10" t="s">
        <v>330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331</v>
      </c>
    </row>
    <row r="2" spans="1:1" x14ac:dyDescent="0.25">
      <c r="A2" t="s">
        <v>332</v>
      </c>
    </row>
    <row r="4" spans="1:3" x14ac:dyDescent="0.25">
      <c r="A4" s="23" t="s">
        <v>102</v>
      </c>
      <c r="B4" s="23" t="s">
        <v>103</v>
      </c>
      <c r="C4" s="23" t="s">
        <v>333</v>
      </c>
    </row>
    <row r="5" spans="1:3" x14ac:dyDescent="0.25">
      <c r="A5" s="10" t="s">
        <v>334</v>
      </c>
      <c r="B5" s="18">
        <v>940</v>
      </c>
      <c r="C5" s="10" t="s">
        <v>335</v>
      </c>
    </row>
    <row r="6" spans="1:3" x14ac:dyDescent="0.25">
      <c r="A6" s="10" t="s">
        <v>336</v>
      </c>
      <c r="B6" s="22">
        <v>1</v>
      </c>
      <c r="C6" s="10" t="s">
        <v>337</v>
      </c>
    </row>
    <row r="7" spans="1:3" x14ac:dyDescent="0.25">
      <c r="A7" s="10" t="s">
        <v>338</v>
      </c>
      <c r="B7" s="18">
        <v>120</v>
      </c>
      <c r="C7" s="10" t="s">
        <v>339</v>
      </c>
    </row>
    <row r="8" spans="1:3" x14ac:dyDescent="0.25">
      <c r="A8" s="10" t="s">
        <v>340</v>
      </c>
      <c r="B8" s="18">
        <v>25000</v>
      </c>
      <c r="C8" s="10" t="s">
        <v>341</v>
      </c>
    </row>
    <row r="9" spans="1:3" x14ac:dyDescent="0.25">
      <c r="A9" s="10" t="s">
        <v>342</v>
      </c>
      <c r="B9" s="18">
        <v>35000</v>
      </c>
      <c r="C9" s="10" t="s">
        <v>343</v>
      </c>
    </row>
    <row r="10" spans="1:3" x14ac:dyDescent="0.25">
      <c r="A10" s="10" t="s">
        <v>344</v>
      </c>
      <c r="B10" s="22">
        <v>0.005</v>
      </c>
      <c r="C10" s="10" t="s">
        <v>345</v>
      </c>
    </row>
    <row r="12" spans="1:3" x14ac:dyDescent="0.25">
      <c r="A12" s="10" t="s">
        <v>346</v>
      </c>
      <c r="B12" s="13">
        <f>B5*B7*B6</f>
      </c>
      <c r="C12" s="10" t="s">
        <v>347</v>
      </c>
    </row>
    <row r="13" spans="1:3" x14ac:dyDescent="0.25">
      <c r="A13" s="10" t="s">
        <v>348</v>
      </c>
      <c r="B13" s="13">
        <f>B8</f>
      </c>
      <c r="C13" s="10" t="s">
        <v>31</v>
      </c>
    </row>
    <row r="14" spans="1:3" x14ac:dyDescent="0.25">
      <c r="A14" s="10" t="s">
        <v>349</v>
      </c>
      <c r="B14" s="13">
        <f>B9</f>
      </c>
      <c r="C14" s="10" t="s">
        <v>31</v>
      </c>
    </row>
    <row r="15" spans="1:3" x14ac:dyDescent="0.25">
      <c r="A15" s="10" t="s">
        <v>350</v>
      </c>
      <c r="B15" s="13">
        <v>15365.721583332643</v>
      </c>
      <c r="C15" s="10" t="s">
        <v>351</v>
      </c>
    </row>
    <row r="16" spans="1:3" x14ac:dyDescent="0.25">
      <c r="A16" s="24" t="s">
        <v>352</v>
      </c>
      <c r="B16" s="20">
        <f>B12+B13+B14+B15</f>
      </c>
      <c r="C16" s="10" t="s">
        <v>353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354</v>
      </c>
    </row>
    <row r="2" spans="1:1" x14ac:dyDescent="0.25">
      <c r="A2" t="s">
        <v>355</v>
      </c>
    </row>
    <row r="4" spans="1:3" x14ac:dyDescent="0.25">
      <c r="A4" s="23" t="s">
        <v>312</v>
      </c>
      <c r="B4" s="23" t="s">
        <v>356</v>
      </c>
      <c r="C4" s="23" t="s">
        <v>104</v>
      </c>
    </row>
    <row r="5" spans="1:3" x14ac:dyDescent="0.25">
      <c r="A5" s="10" t="s">
        <v>357</v>
      </c>
      <c r="B5" s="13">
        <v>788745.31</v>
      </c>
      <c r="C5" s="10" t="s">
        <v>31</v>
      </c>
    </row>
    <row r="6" spans="1:3" x14ac:dyDescent="0.25">
      <c r="A6" s="10" t="s">
        <v>358</v>
      </c>
      <c r="B6" s="13">
        <v>1098201.80786</v>
      </c>
      <c r="C6" s="10" t="s">
        <v>31</v>
      </c>
    </row>
    <row r="7" spans="1:3" x14ac:dyDescent="0.25">
      <c r="A7" s="10" t="s">
        <v>359</v>
      </c>
      <c r="B7" s="13">
        <v>236563.3275978</v>
      </c>
      <c r="C7" s="10" t="s">
        <v>31</v>
      </c>
    </row>
    <row r="8" spans="1:3" x14ac:dyDescent="0.25">
      <c r="A8" s="10" t="s">
        <v>360</v>
      </c>
      <c r="B8" s="13">
        <v>169880.83563662402</v>
      </c>
      <c r="C8" s="10" t="s">
        <v>31</v>
      </c>
    </row>
    <row r="9" spans="1:3" x14ac:dyDescent="0.25">
      <c r="A9" s="10" t="s">
        <v>361</v>
      </c>
      <c r="B9" s="13">
        <v>779753.0355721044</v>
      </c>
      <c r="C9" s="10" t="s">
        <v>31</v>
      </c>
    </row>
    <row r="10" spans="1:3" x14ac:dyDescent="0.25">
      <c r="A10" s="10" t="s">
        <v>362</v>
      </c>
      <c r="B10" s="13">
        <v>3073144.3166665286</v>
      </c>
      <c r="C10" s="10" t="s">
        <v>31</v>
      </c>
    </row>
    <row r="11" spans="1:3" x14ac:dyDescent="0.25">
      <c r="A11" s="10" t="s">
        <v>363</v>
      </c>
      <c r="B11" s="13">
        <v>188165.72158333263</v>
      </c>
      <c r="C11" s="10" t="s">
        <v>31</v>
      </c>
    </row>
    <row r="12" spans="1:3" x14ac:dyDescent="0.25">
      <c r="A12" s="10" t="s">
        <v>364</v>
      </c>
      <c r="B12" s="13">
        <v>3261310.0382498614</v>
      </c>
      <c r="C12" s="10" t="s">
        <v>31</v>
      </c>
    </row>
    <row r="13" spans="1:3" x14ac:dyDescent="0.25">
      <c r="A13" s="24" t="s">
        <v>365</v>
      </c>
      <c r="B13" s="20">
        <v>652262.0076499723</v>
      </c>
      <c r="C13" s="10" t="s">
        <v>31</v>
      </c>
    </row>
    <row r="14" spans="1:3" x14ac:dyDescent="0.25">
      <c r="A14" s="25" t="s">
        <v>366</v>
      </c>
      <c r="B14" s="26">
        <v>3913572.0458998336</v>
      </c>
      <c r="C14" s="10" t="s">
        <v>31</v>
      </c>
    </row>
    <row r="15" spans="1:3" x14ac:dyDescent="0.25">
      <c r="A15" s="10" t="s">
        <v>367</v>
      </c>
      <c r="B15" s="13">
        <v>326131.00382498617</v>
      </c>
      <c r="C15" s="10" t="s">
        <v>31</v>
      </c>
    </row>
    <row r="16" spans="1:3" x14ac:dyDescent="0.25">
      <c r="A16" s="10" t="s">
        <v>368</v>
      </c>
      <c r="B16" s="13">
        <v>391357.20458998333</v>
      </c>
      <c r="C16" s="10" t="s">
        <v>31</v>
      </c>
    </row>
    <row r="17" spans="1:3" x14ac:dyDescent="0.25">
      <c r="A17" s="24" t="s">
        <v>369</v>
      </c>
      <c r="B17" s="20">
        <v>816347.9444930818</v>
      </c>
      <c r="C17" s="10" t="s">
        <v>370</v>
      </c>
    </row>
    <row r="18" spans="1:3" x14ac:dyDescent="0.25">
      <c r="A18" s="24" t="s">
        <v>371</v>
      </c>
      <c r="B18" s="20">
        <v>979617.5333916981</v>
      </c>
      <c r="C18" s="10" t="s">
        <v>370</v>
      </c>
    </row>
    <row r="19" spans="1:3" x14ac:dyDescent="0.25">
      <c r="A19" s="10" t="s">
        <v>372</v>
      </c>
      <c r="B19" s="13">
        <v>191841.7669558742</v>
      </c>
      <c r="C19" s="10" t="s">
        <v>373</v>
      </c>
    </row>
    <row r="20" spans="1:3" x14ac:dyDescent="0.25">
      <c r="A20" s="10" t="s">
        <v>374</v>
      </c>
      <c r="B20" s="13">
        <v>230210.12034704903</v>
      </c>
      <c r="C20" s="10" t="s">
        <v>373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375</v>
      </c>
    </row>
    <row r="3" spans="1:4" x14ac:dyDescent="0.25">
      <c r="A3" s="3" t="s">
        <v>86</v>
      </c>
      <c r="B3" s="3" t="s">
        <v>89</v>
      </c>
      <c r="C3" s="3" t="s">
        <v>376</v>
      </c>
      <c r="D3" s="3" t="s">
        <v>377</v>
      </c>
    </row>
    <row r="4" spans="1:4" x14ac:dyDescent="0.25">
      <c r="A4" t="s">
        <v>87</v>
      </c>
      <c r="B4" t="s">
        <v>90</v>
      </c>
      <c r="C4" t="s">
        <v>378</v>
      </c>
      <c r="D4" t="s">
        <v>379</v>
      </c>
    </row>
    <row r="5" spans="1:4" x14ac:dyDescent="0.25">
      <c r="A5" t="s">
        <v>380</v>
      </c>
      <c r="B5" t="s">
        <v>381</v>
      </c>
      <c r="C5" t="s">
        <v>382</v>
      </c>
      <c r="D5" t="s">
        <v>383</v>
      </c>
    </row>
    <row r="6" spans="1:4" x14ac:dyDescent="0.25">
      <c r="A6" t="s">
        <v>384</v>
      </c>
      <c r="B6" t="s">
        <v>385</v>
      </c>
      <c r="C6" t="s">
        <v>386</v>
      </c>
      <c r="D6" t="s">
        <v>387</v>
      </c>
    </row>
    <row r="7" spans="1:4" x14ac:dyDescent="0.25">
      <c r="A7" t="s">
        <v>388</v>
      </c>
      <c r="C7" t="s">
        <v>389</v>
      </c>
      <c r="D7" t="s">
        <v>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2026-04-05T13:19:47Z</dcterms:created>
  <dcterms:modified xsi:type="dcterms:W3CDTF">2026-04-05T13:19:47Z</dcterms:modified>
</cp:coreProperties>
</file>
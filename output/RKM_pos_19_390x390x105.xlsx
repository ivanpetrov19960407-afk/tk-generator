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<sst xmlns="http://schemas.openxmlformats.org/spreadsheetml/2006/main" count="529" uniqueCount="391">
  <si>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</si>
  <si>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</si>
  <si>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</si>
  <si>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объемное сегментное, радиусное, сложной конфигурации, с фигурным резом профиля: выборка 70мм с двухрадиусным кантом R=38° и R=42°, из полнотелого натурального камня с толщиной t,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рельефная_матовая; размеры 390×390×105мм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</si>
  <si>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</si>
  <si>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</si>
  <si>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</si>
  <si>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390 × 390 × 105</t>
  </si>
  <si>
    <t>Количество:</t>
  </si>
  <si>
    <t>16 шт.</t>
  </si>
  <si>
    <t xml:space="preserve">Фактура поверхности </t>
  </si>
  <si>
    <t>Рельефная_матовая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</si>
  <si>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</si>
  <si>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</si>
  <si>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</si>
  <si>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</si>
  <si>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</si>
  <si>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</si>
  <si>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</si>
  <si>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</si>
  <si>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</si>
  <si>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</si>
  <si>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</si>
  <si>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</si>
  <si>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</si>
  <si>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</si>
  <si>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</si>
  <si>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</si>
  <si>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</si>
  <si>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</si>
  <si>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</si>
  <si>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</si>
  <si>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</si>
  <si>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</si>
  <si>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</si>
  <si>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</si>
  <si>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</si>
  <si>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</si>
  <si>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</si>
  <si>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</si>
  <si>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</si>
  <si>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</si>
  <si>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</si>
  <si>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</si>
  <si>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</si>
  <si>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</si>
  <si>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</si>
  <si>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</si>
  <si>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</si>
  <si>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</si>
  <si>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</si>
  <si>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</si>
  <si>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</si>
  <si>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</si>
  <si>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</si>
  <si>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</si>
  <si>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</si>
  <si>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</si>
  <si>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</si>
  <si>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</si>
  <si>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</si>
  <si>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</si>
  <si>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</si>
  <si>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</si>
  <si>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</si>
  <si>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</si>
  <si>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</si>
  <si>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</si>
  <si>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</si>
  <si>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</si>
  <si>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</si>
  <si>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</si>
  <si>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</si>
  <si>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</si>
  <si>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</si>
  <si>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</si>
  <si>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</si>
  <si>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</si>
  <si>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</si>
  <si>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</si>
  <si>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</si>
  <si>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</si>
  <si>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</si>
  <si>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</si>
  <si>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</si>
  <si>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</si>
  <si>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</si>
  <si>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</si>
  <si>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</si>
  <si>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</si>
  <si>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</si>
  <si>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</si>
  <si>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</si>
  <si>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</si>
  <si>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</si>
  <si>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</si>
  <si>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</si>
  <si>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</si>
  <si>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</si>
  <si>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</si>
  <si>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</si>
  <si>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390×390×105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</si>
  <si>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</si>
  <si>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</si>
  <si>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</si>
  <si>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</si>
  <si>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</si>
  <si>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</si>
  <si>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</si>
  <si>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</si>
  <si>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</si>
  <si>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</si>
  <si>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</si>
  <si>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</si>
  <si>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</si>
  <si>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</si>
  <si>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</si>
  <si>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</si>
  <si>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</si>
  <si>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</si>
  <si>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</si>
  <si>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</si>
  <si>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</si>
  <si>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</si>
  <si>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</si>
  <si>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</si>
  <si>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</si>
  <si>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</si>
  <si>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</si>
  <si>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</si>
  <si>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</si>
  <si>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</si>
  <si>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</si>
  <si>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</si>
  <si>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</si>
  <si>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</si>
  <si>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</si>
  <si>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</si>
  <si>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</si>
  <si>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</si>
  <si>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</si>
  <si>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</si>
  <si>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</si>
  <si>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</si>
  <si>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</si>
  <si>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</si>
  <si>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</si>
  <si>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</si>
  <si>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</si>
  <si>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</si>
  <si>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</si>
  <si>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</si>
  <si>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</si>
  <si>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</si>
  <si>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</si>
  <si>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</si>
  <si>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</si>
  <si>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</si>
  <si>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</si>
  <si>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</si>
  <si>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</si>
  <si>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</si>
  <si>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</si>
  <si>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</si>
  <si>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</si>
  <si>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</si>
  <si>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</si>
  <si>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</si>
  <si>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</si>
  <si>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</si>
  <si>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</si>
  <si>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</si>
  <si>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</si>
  <si>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</si>
  <si>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</si>
  <si>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</si>
  <si>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</si>
  <si>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16 компл на 16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</si>
  <si>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</si>
  <si>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</si>
  <si>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</si>
  <si>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</si>
  <si>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</si>
  <si>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</si>
  <si>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</si>
  <si>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</si>
  <si>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</si>
  <si>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</si>
  <si>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</si>
  <si>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</si>
  <si>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</si>
  <si>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</si>
  <si>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</si>
  <si>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</si>
  <si>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</si>
  <si>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</si>
  <si>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</si>
  <si>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</si>
  <si>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</si>
  <si>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</si>
  <si>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</si>
  <si>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</si>
  <si>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</si>
  <si>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</si>
  <si>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</si>
  <si>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</si>
  <si>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</si>
  <si>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</si>
  <si>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</si>
  <si>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</si>
  <si>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</si>
  <si>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</si>
  <si>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</si>
  <si>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</si>
  <si>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</si>
  <si>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</si>
  <si>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</si>
  <si>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</si>
  <si>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</si>
  <si>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</si>
  <si>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</si>
  <si>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</si>
  <si>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</si>
  <si>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</si>
  <si>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</si>
  <si>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</si>
  <si>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</si>
  <si>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</si>
  <si>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</si>
  <si>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</si>
  <si>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</si>
  <si>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</si>
  <si>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</si>
  <si>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</si>
  <si>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</si>
  <si>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</si>
  <si>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</si>
  <si>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</si>
  <si>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</si>
  <si>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</si>
  <si>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</si>
  <si>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</si>
  <si>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</si>
  <si>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</si>
  <si>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</si>
  <si>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</si>
  <si>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</si>
  <si>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</si>
  <si>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</si>
  <si>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</si>
  <si>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</si>
  <si>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</si>
  <si>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</si>
  <si>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</si>
  <si>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</si>
  <si>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</si>
  <si>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</si>
  <si>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</si>
  <si>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</si>
  <si>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</si>
  <si>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</si>
  <si>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</si>
  <si>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</si>
  <si>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</si>
  <si>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</si>
  <si>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</si>
  <si>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</si>
  <si>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</si>
  <si>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</si>
  <si>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</si>
  <si>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</si>
  <si>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</si>
  <si>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</si>
  <si>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</si>
  <si>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</si>
  <si>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</si>
  <si>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</si>
  <si>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</si>
  <si>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</si>
  <si>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</si>
  <si>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</si>
  <si>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</si>
  <si>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</si>
  <si>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</si>
  <si>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</si>
  <si>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</si>
  <si>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</si>
  <si>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</si>
  <si>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</si>
  <si>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</si>
  <si>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</si>
  <si>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</si>
  <si>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</si>
  <si>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</si>
  <si>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</si>
  <si>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</si>
  <si>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</si>
  <si>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</si>
  <si>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</si>
  <si>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</si>
  <si>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</si>
  <si>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</si>
  <si>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</si>
  <si>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</si>
  <si>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</si>
  <si>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</si>
  <si>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</si>
  <si>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</si>
  <si>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</si>
  <si>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</si>
  <si>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</si>
  <si>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</si>
  <si>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</si>
  <si>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</si>
  <si>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</si>
  <si>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</si>
  <si>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</si>
  <si>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</si>
  <si>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</si>
  <si>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</si>
  <si>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</si>
  <si>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</si>
  <si>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</si>
  <si>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</si>
  <si>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</si>
  <si>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</si>
  <si>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</si>
  <si>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</si>
  <si>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</si>
  <si>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</si>
  <si>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</si>
  <si>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</si>
  <si>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</si>
  <si>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</si>
  <si>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</si>
  <si>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</si>
  <si>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</si>
  <si>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</si>
  <si>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</si>
  <si>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</si>
  <si>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</si>
  <si>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</si>
  <si>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</si>
  <si>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</si>
  <si>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</si>
  <si>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</si>
  <si>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</si>
  <si>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</si>
  <si>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</si>
  <si>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</si>
  <si>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</si>
  <si>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</si>
  <si>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</si>
  <si>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</si>
  <si>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</si>
  <si>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16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</si>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</sst>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16</v>
      </c>
      <c r="D6" t="s">
        <v>43</v>
      </c>
      <c r="E6" s="5">
        <v>1.2</v>
      </c>
    </row>
    <row r="7" spans="1:5" x14ac:dyDescent="0.25">
      <c r="A7" t="s">
        <v>44</v>
      </c>
      <c r="B7" s="5">
        <v>390</v>
      </c>
      <c r="D7" t="s">
        <v>45</v>
      </c>
      <c r="E7" s="5">
        <v>2</v>
      </c>
    </row>
    <row r="8" spans="1:5" x14ac:dyDescent="0.25">
      <c r="A8" t="s">
        <v>46</v>
      </c>
      <c r="B8" s="5">
        <v>390</v>
      </c>
      <c r="D8" t="s">
        <v>47</v>
      </c>
      <c r="E8" s="5">
        <v>1.05</v>
      </c>
    </row>
    <row r="9" spans="1:5" x14ac:dyDescent="0.25">
      <c r="A9" t="s">
        <v>48</v>
      </c>
      <c r="B9" s="5">
        <v>105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0.1521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0.39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0.39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0.39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0.105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0.015970500000000002</v>
      </c>
      <c r="C8" s="10" t="s">
        <v>114</v>
      </c>
      <c r="E8" s="10" t="s">
        <v>115</v>
      </c>
      <c r="F8" s="11">
        <v>0.64393056</v>
      </c>
    </row>
    <row r="9" spans="1:6" x14ac:dyDescent="0.25">
      <c r="A9" s="10" t="s">
        <v>116</v>
      </c>
      <c r="B9" s="11">
        <v>0.1521</v>
      </c>
      <c r="C9" s="10" t="s">
        <v>117</v>
      </c>
      <c r="E9" s="10" t="s">
        <v>118</v>
      </c>
      <c r="F9" s="11">
        <v>0.04024566</v>
      </c>
    </row>
    <row r="10" spans="1:6" x14ac:dyDescent="0.25">
      <c r="A10" s="10" t="s">
        <v>119</v>
      </c>
      <c r="B10" s="11">
        <v>0.1521</v>
      </c>
      <c r="C10" s="10" t="s">
        <v>117</v>
      </c>
      <c r="E10" s="10" t="s">
        <v>120</v>
      </c>
      <c r="F10" s="12">
        <v>413403.41952000005</v>
      </c>
    </row>
    <row r="11" spans="1:6" x14ac:dyDescent="0.25">
      <c r="A11" s="10" t="s">
        <v>121</v>
      </c>
      <c r="B11" s="11">
        <v>0.04095</v>
      </c>
      <c r="C11" s="10" t="s">
        <v>122</v>
      </c>
      <c r="E11" s="10" t="s">
        <v>123</v>
      </c>
      <c r="F11" s="12">
        <v>25837.713720000003</v>
      </c>
    </row>
    <row r="12" spans="1:3" x14ac:dyDescent="0.25">
      <c r="A12" s="10" t="s">
        <v>124</v>
      </c>
      <c r="B12" s="11">
        <v>0.04095</v>
      </c>
      <c r="C12" s="10" t="s">
        <v>122</v>
      </c>
    </row>
    <row r="13" spans="1:3" x14ac:dyDescent="0.25">
      <c r="A13" s="10" t="s">
        <v>125</v>
      </c>
      <c r="B13" s="11">
        <v>0.0819</v>
      </c>
      <c r="C13" s="10" t="s">
        <v>126</v>
      </c>
    </row>
    <row r="14" spans="1:3" x14ac:dyDescent="0.25">
      <c r="A14" s="10" t="s">
        <v>127</v>
      </c>
      <c r="B14" s="11">
        <v>0.46799999999999997</v>
      </c>
      <c r="C14" s="10" t="s">
        <v>128</v>
      </c>
    </row>
    <row r="15" spans="1:3" x14ac:dyDescent="0.25">
      <c r="A15" s="10" t="s">
        <v>129</v>
      </c>
      <c r="B15" s="13">
        <v>1.17</v>
      </c>
      <c r="C15" s="10" t="s">
        <v>130</v>
      </c>
    </row>
    <row r="16" spans="1:3" x14ac:dyDescent="0.25">
      <c r="A16" s="10" t="s">
        <v>131</v>
      </c>
      <c r="B16" s="13">
        <v>3.54</v>
      </c>
      <c r="C16" s="10" t="s">
        <v>132</v>
      </c>
    </row>
    <row r="17" spans="1:3" x14ac:dyDescent="0.25">
      <c r="A17" s="10" t="s">
        <v>133</v>
      </c>
      <c r="B17" s="13">
        <v>43.12035000000001</v>
      </c>
      <c r="C17" s="10" t="s">
        <v>134</v>
      </c>
    </row>
    <row r="18" spans="1:3" x14ac:dyDescent="0.25">
      <c r="A18" s="10" t="s">
        <v>42</v>
      </c>
      <c r="B18" s="13">
        <v>16</v>
      </c>
      <c r="C18" s="10" t="s">
        <v>31</v>
      </c>
    </row>
    <row r="19" spans="1:3" x14ac:dyDescent="0.25">
      <c r="A19" s="10" t="s">
        <v>135</v>
      </c>
      <c r="B19" s="11">
        <v>0.25552800000000003</v>
      </c>
      <c r="C19" s="10" t="s">
        <v>136</v>
      </c>
    </row>
    <row r="20" spans="1:3" x14ac:dyDescent="0.25">
      <c r="A20" s="10" t="s">
        <v>137</v>
      </c>
      <c r="B20" s="13">
        <v>689.9256000000001</v>
      </c>
      <c r="C20" s="10" t="s">
        <v>138</v>
      </c>
    </row>
    <row r="22" spans="1:3" x14ac:dyDescent="0.25">
      <c r="A22" t="s">
        <v>139</v>
      </c>
      <c r="B22" s="14">
        <v>0.1521</v>
      </c>
      <c r="C22" t="s">
        <v>140</v>
      </c>
    </row>
    <row r="23" spans="1:3" x14ac:dyDescent="0.25">
      <c r="A23" t="s">
        <v>141</v>
      </c>
      <c r="B23" s="14">
        <v>0.39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0.64393056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16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16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16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16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16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16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24</v>
      </c>
      <c r="J5" s="12">
        <v>243.9</v>
      </c>
      <c r="K5" s="12">
        <f>I5*J5</f>
      </c>
      <c r="L5" s="12">
        <f>K5*0.302</f>
      </c>
      <c r="M5" s="22">
        <v>0.3</v>
      </c>
      <c r="N5" s="10">
        <v>4.8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40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28.8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19.2</v>
      </c>
      <c r="J8" s="12">
        <v>152.44</v>
      </c>
      <c r="K8" s="12">
        <f>I8*J8</f>
      </c>
      <c r="L8" s="12">
        <f>K8*0.302</f>
      </c>
      <c r="M8" s="22">
        <v>0.5</v>
      </c>
      <c r="N8" s="10">
        <v>8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51.2</v>
      </c>
      <c r="J9" s="12">
        <v>176.83</v>
      </c>
      <c r="K9" s="12">
        <f>I9*J9</f>
      </c>
      <c r="L9" s="12">
        <f>K9*0.302</f>
      </c>
      <c r="M9" s="22">
        <v>2</v>
      </c>
      <c r="N9" s="10">
        <v>32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16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44.8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25.6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64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38.4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19.2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25.6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9.6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54.4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32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16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6.4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51.2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22.4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64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48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16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64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40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40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16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32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16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72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48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9.6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28.8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9.6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681003.41952</v>
      </c>
      <c r="C5" s="10" t="s">
        <v>315</v>
      </c>
    </row>
    <row r="6" spans="1:3" x14ac:dyDescent="0.25">
      <c r="A6" s="10" t="s">
        <v>316</v>
      </c>
      <c r="B6" s="12">
        <v>1757122.8925760002</v>
      </c>
      <c r="C6" s="10" t="s">
        <v>317</v>
      </c>
    </row>
    <row r="7" spans="1:3" x14ac:dyDescent="0.25">
      <c r="A7" s="10" t="s">
        <v>318</v>
      </c>
      <c r="B7" s="12">
        <v>218786.89257599995</v>
      </c>
      <c r="C7" s="10" t="s">
        <v>319</v>
      </c>
    </row>
    <row r="8" spans="1:3" x14ac:dyDescent="0.25">
      <c r="A8" s="10" t="s">
        <v>320</v>
      </c>
      <c r="B8" s="12">
        <v>378501.3241564799</v>
      </c>
      <c r="C8" s="10" t="s">
        <v>321</v>
      </c>
    </row>
    <row r="9" spans="1:3" x14ac:dyDescent="0.25">
      <c r="A9" s="10" t="s">
        <v>322</v>
      </c>
      <c r="B9" s="12">
        <v>2816627.63625248</v>
      </c>
      <c r="C9" s="10" t="s">
        <v>323</v>
      </c>
    </row>
    <row r="10" spans="1:3" x14ac:dyDescent="0.25">
      <c r="A10" s="10" t="s">
        <v>324</v>
      </c>
      <c r="B10" s="12">
        <v>225330.2109001984</v>
      </c>
      <c r="C10" s="10" t="s">
        <v>325</v>
      </c>
    </row>
    <row r="11" spans="1:3" x14ac:dyDescent="0.25">
      <c r="A11" s="10" t="s">
        <v>326</v>
      </c>
      <c r="B11" s="12">
        <v>3041957.8471526783</v>
      </c>
      <c r="C11" s="10" t="s">
        <v>31</v>
      </c>
    </row>
    <row r="12" spans="1:3" x14ac:dyDescent="0.25">
      <c r="A12" s="10" t="s">
        <v>327</v>
      </c>
      <c r="B12" s="12">
        <v>1034265.6680319107</v>
      </c>
      <c r="C12" s="10" t="s">
        <v>328</v>
      </c>
    </row>
    <row r="13" spans="1:3" x14ac:dyDescent="0.25">
      <c r="A13" s="24" t="s">
        <v>329</v>
      </c>
      <c r="B13" s="20">
        <v>4076223.5151845887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20381.117575922945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681003.41952</v>
      </c>
      <c r="C5" s="10" t="s">
        <v>31</v>
      </c>
    </row>
    <row r="6" spans="1:3" x14ac:dyDescent="0.25">
      <c r="A6" s="10" t="s">
        <v>358</v>
      </c>
      <c r="B6" s="12">
        <v>1757122.8925760002</v>
      </c>
      <c r="C6" s="10" t="s">
        <v>31</v>
      </c>
    </row>
    <row r="7" spans="1:3" x14ac:dyDescent="0.25">
      <c r="A7" s="10" t="s">
        <v>359</v>
      </c>
      <c r="B7" s="12">
        <v>378501.3241564799</v>
      </c>
      <c r="C7" s="10" t="s">
        <v>31</v>
      </c>
    </row>
    <row r="8" spans="1:3" x14ac:dyDescent="0.25">
      <c r="A8" s="10" t="s">
        <v>360</v>
      </c>
      <c r="B8" s="12">
        <v>225330.2109001984</v>
      </c>
      <c r="C8" s="10" t="s">
        <v>31</v>
      </c>
    </row>
    <row r="9" spans="1:3" x14ac:dyDescent="0.25">
      <c r="A9" s="10" t="s">
        <v>361</v>
      </c>
      <c r="B9" s="12">
        <v>1034265.6680319107</v>
      </c>
      <c r="C9" s="10" t="s">
        <v>31</v>
      </c>
    </row>
    <row r="10" spans="1:3" x14ac:dyDescent="0.25">
      <c r="A10" s="10" t="s">
        <v>362</v>
      </c>
      <c r="B10" s="12">
        <v>4076223.5151845887</v>
      </c>
      <c r="C10" s="10" t="s">
        <v>31</v>
      </c>
    </row>
    <row r="11" spans="1:3" x14ac:dyDescent="0.25">
      <c r="A11" s="10" t="s">
        <v>363</v>
      </c>
      <c r="B11" s="12">
        <v>193181.11757592295</v>
      </c>
      <c r="C11" s="10" t="s">
        <v>31</v>
      </c>
    </row>
    <row r="12" spans="1:3" x14ac:dyDescent="0.25">
      <c r="A12" s="10" t="s">
        <v>364</v>
      </c>
      <c r="B12" s="12">
        <v>4269404.632760512</v>
      </c>
      <c r="C12" s="10" t="s">
        <v>31</v>
      </c>
    </row>
    <row r="13" spans="1:3" x14ac:dyDescent="0.25">
      <c r="A13" s="24" t="s">
        <v>365</v>
      </c>
      <c r="B13" s="20">
        <v>853880.9265521024</v>
      </c>
      <c r="C13" s="10" t="s">
        <v>31</v>
      </c>
    </row>
    <row r="14" spans="1:3" x14ac:dyDescent="0.25">
      <c r="A14" s="25" t="s">
        <v>366</v>
      </c>
      <c r="B14" s="26">
        <v>5123285.559312614</v>
      </c>
      <c r="C14" s="10" t="s">
        <v>31</v>
      </c>
    </row>
    <row r="15" spans="1:3" x14ac:dyDescent="0.25">
      <c r="A15" s="10" t="s">
        <v>367</v>
      </c>
      <c r="B15" s="12">
        <v>266837.789547532</v>
      </c>
      <c r="C15" s="10" t="s">
        <v>31</v>
      </c>
    </row>
    <row r="16" spans="1:3" x14ac:dyDescent="0.25">
      <c r="A16" s="10" t="s">
        <v>368</v>
      </c>
      <c r="B16" s="12">
        <v>320205.34745703836</v>
      </c>
      <c r="C16" s="10" t="s">
        <v>31</v>
      </c>
    </row>
    <row r="17" spans="1:3" x14ac:dyDescent="0.25">
      <c r="A17" s="24" t="s">
        <v>369</v>
      </c>
      <c r="B17" s="20">
        <v>1754357.5907135566</v>
      </c>
      <c r="C17" s="10" t="s">
        <v>370</v>
      </c>
    </row>
    <row r="18" spans="1:3" x14ac:dyDescent="0.25">
      <c r="A18" s="24" t="s">
        <v>371</v>
      </c>
      <c r="B18" s="20">
        <v>2105229.1088562678</v>
      </c>
      <c r="C18" s="10" t="s">
        <v>370</v>
      </c>
    </row>
    <row r="19" spans="1:3" x14ac:dyDescent="0.25">
      <c r="A19" s="10" t="s">
        <v>372</v>
      </c>
      <c r="B19" s="12">
        <v>684199.4603782871</v>
      </c>
      <c r="C19" s="10" t="s">
        <v>373</v>
      </c>
    </row>
    <row r="20" spans="1:3" x14ac:dyDescent="0.25">
      <c r="A20" s="10" t="s">
        <v>374</v>
      </c>
      <c r="B20" s="12">
        <v>821039.3524539445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
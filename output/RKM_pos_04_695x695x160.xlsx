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<sst xmlns="http://schemas.openxmlformats.org/spreadsheetml/2006/main" count="529" uniqueCount="391">
  <si>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</si>
  <si>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</si>
  <si>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</si>
  <si>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объемное сегментное, радиусное  из полнотелого натурального камня с толщиной t=160, с радиусом от R510, с калибровкой и полировкой торцевых частей изделия: облицовка базы колонн,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лощение; размеры 695×695×160мм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</si>
  <si>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</si>
  <si>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</si>
  <si>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</si>
  <si>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695 × 695 × 160</t>
  </si>
  <si>
    <t>Количество:</t>
  </si>
  <si>
    <t>64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</si>
  <si>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</si>
  <si>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</si>
  <si>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</si>
  <si>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</si>
  <si>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</si>
  <si>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</si>
  <si>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</si>
  <si>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</si>
  <si>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</si>
  <si>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</si>
  <si>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</si>
  <si>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</si>
  <si>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</si>
  <si>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</si>
  <si>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</si>
  <si>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</si>
  <si>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</si>
  <si>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</si>
  <si>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</si>
  <si>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</si>
  <si>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</si>
  <si>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</si>
  <si>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</si>
  <si>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</si>
  <si>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</si>
  <si>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</si>
  <si>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</si>
  <si>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</si>
  <si>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</si>
  <si>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</si>
  <si>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</si>
  <si>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</si>
  <si>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</si>
  <si>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</si>
  <si>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</si>
  <si>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</si>
  <si>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</si>
  <si>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</si>
  <si>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</si>
  <si>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</si>
  <si>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</si>
  <si>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</si>
  <si>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</si>
  <si>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</si>
  <si>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</si>
  <si>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</si>
  <si>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</si>
  <si>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</si>
  <si>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</si>
  <si>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</si>
  <si>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</si>
  <si>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</si>
  <si>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</si>
  <si>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</si>
  <si>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</si>
  <si>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</si>
  <si>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</si>
  <si>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</si>
  <si>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</si>
  <si>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</si>
  <si>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</si>
  <si>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</si>
  <si>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</si>
  <si>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</si>
  <si>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</si>
  <si>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</si>
  <si>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</si>
  <si>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</si>
  <si>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</si>
  <si>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</si>
  <si>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</si>
  <si>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</si>
  <si>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</si>
  <si>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</si>
  <si>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</si>
  <si>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</si>
  <si>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</si>
  <si>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</si>
  <si>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</si>
  <si>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</si>
  <si>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</si>
  <si>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</si>
  <si>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</si>
  <si>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</si>
  <si>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</si>
  <si>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</si>
  <si>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</si>
  <si>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</si>
  <si>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</si>
  <si>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</si>
  <si>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</si>
  <si>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695×695×160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</si>
  <si>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</si>
  <si>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</si>
  <si>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</si>
  <si>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</si>
  <si>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</si>
  <si>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</si>
  <si>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</si>
  <si>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</si>
  <si>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</si>
  <si>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</si>
  <si>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</si>
  <si>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</si>
  <si>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</si>
  <si>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</si>
  <si>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</si>
  <si>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</si>
  <si>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</si>
  <si>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</si>
  <si>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</si>
  <si>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</si>
  <si>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</si>
  <si>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</si>
  <si>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</si>
  <si>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</si>
  <si>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</si>
  <si>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</si>
  <si>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</si>
  <si>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</si>
  <si>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</si>
  <si>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</si>
  <si>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</si>
  <si>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</si>
  <si>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</si>
  <si>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</si>
  <si>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</si>
  <si>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</si>
  <si>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</si>
  <si>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</si>
  <si>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</si>
  <si>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</si>
  <si>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</si>
  <si>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</si>
  <si>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</si>
  <si>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</si>
  <si>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</si>
  <si>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</si>
  <si>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</si>
  <si>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</si>
  <si>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</si>
  <si>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</si>
  <si>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</si>
  <si>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</si>
  <si>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</si>
  <si>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</si>
  <si>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</si>
  <si>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</si>
  <si>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</si>
  <si>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</si>
  <si>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</si>
  <si>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</si>
  <si>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</si>
  <si>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</si>
  <si>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</si>
  <si>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</si>
  <si>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</si>
  <si>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</si>
  <si>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</si>
  <si>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</si>
  <si>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</si>
  <si>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</si>
  <si>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</si>
  <si>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</si>
  <si>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</si>
  <si>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</si>
  <si>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</si>
  <si>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64 компл на 64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</si>
  <si>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</si>
  <si>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</si>
  <si>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</si>
  <si>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</si>
  <si>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</si>
  <si>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</si>
  <si>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</si>
  <si>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</si>
  <si>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</si>
  <si>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</si>
  <si>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</si>
  <si>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</si>
  <si>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</si>
  <si>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</si>
  <si>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</si>
  <si>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</si>
  <si>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</si>
  <si>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</si>
  <si>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</si>
  <si>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</si>
  <si>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</si>
  <si>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</si>
  <si>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</si>
  <si>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</si>
  <si>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</si>
  <si>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</si>
  <si>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</si>
  <si>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</si>
  <si>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</si>
  <si>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</si>
  <si>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</si>
  <si>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</si>
  <si>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</si>
  <si>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</si>
  <si>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</si>
  <si>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</si>
  <si>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</si>
  <si>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</si>
  <si>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</si>
  <si>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</si>
  <si>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</si>
  <si>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</si>
  <si>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</si>
  <si>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</si>
  <si>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</si>
  <si>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</si>
  <si>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</si>
  <si>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</si>
  <si>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</si>
  <si>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</si>
  <si>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</si>
  <si>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</si>
  <si>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</si>
  <si>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</si>
  <si>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</si>
  <si>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</si>
  <si>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</si>
  <si>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</si>
  <si>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</si>
  <si>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</si>
  <si>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</si>
  <si>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</si>
  <si>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</si>
  <si>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</si>
  <si>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</si>
  <si>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</si>
  <si>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</si>
  <si>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</si>
  <si>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</si>
  <si>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</si>
  <si>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</si>
  <si>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</si>
  <si>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</si>
  <si>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</si>
  <si>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</si>
  <si>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</si>
  <si>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</si>
  <si>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</si>
  <si>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</si>
  <si>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</si>
  <si>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</si>
  <si>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</si>
  <si>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</si>
  <si>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</si>
  <si>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</si>
  <si>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</si>
  <si>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</si>
  <si>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</si>
  <si>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</si>
  <si>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</si>
  <si>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</si>
  <si>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</si>
  <si>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</si>
  <si>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</si>
  <si>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</si>
  <si>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</si>
  <si>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</si>
  <si>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</si>
  <si>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</si>
  <si>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</si>
  <si>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</si>
  <si>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</si>
  <si>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</si>
  <si>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</si>
  <si>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</si>
  <si>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</si>
  <si>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</si>
  <si>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</si>
  <si>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</si>
  <si>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</si>
  <si>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</si>
  <si>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</si>
  <si>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</si>
  <si>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</si>
  <si>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</si>
  <si>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</si>
  <si>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</si>
  <si>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</si>
  <si>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</si>
  <si>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</si>
  <si>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</si>
  <si>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</si>
  <si>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</si>
  <si>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</si>
  <si>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</si>
  <si>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</si>
  <si>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</si>
  <si>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</si>
  <si>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</si>
  <si>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</si>
  <si>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</si>
  <si>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</si>
  <si>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</si>
  <si>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</si>
  <si>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</si>
  <si>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</si>
  <si>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</si>
  <si>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</si>
  <si>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</si>
  <si>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</si>
  <si>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</si>
  <si>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</si>
  <si>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</si>
  <si>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</si>
  <si>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</si>
  <si>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</si>
  <si>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</si>
  <si>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</si>
  <si>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</si>
  <si>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</si>
  <si>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</si>
  <si>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</si>
  <si>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</si>
  <si>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</si>
  <si>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</si>
  <si>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</si>
  <si>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</si>
  <si>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</si>
  <si>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</si>
  <si>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</si>
  <si>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</si>
  <si>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</si>
  <si>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</si>
  <si>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</si>
  <si>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</si>
  <si>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</si>
  <si>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</si>
  <si>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</si>
  <si>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</si>
  <si>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</si>
  <si>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</si>
  <si>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</si>
  <si>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</si>
  <si>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</si>
  <si>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</si>
  <si>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</si>
  <si>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</si>
  <si>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64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</si>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</sst>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64</v>
      </c>
      <c r="D6" t="s">
        <v>43</v>
      </c>
      <c r="E6" s="5">
        <v>1.2</v>
      </c>
    </row>
    <row r="7" spans="1:5" x14ac:dyDescent="0.25">
      <c r="A7" t="s">
        <v>44</v>
      </c>
      <c r="B7" s="5">
        <v>695</v>
      </c>
      <c r="D7" t="s">
        <v>45</v>
      </c>
      <c r="E7" s="5">
        <v>2</v>
      </c>
    </row>
    <row r="8" spans="1:5" x14ac:dyDescent="0.25">
      <c r="A8" t="s">
        <v>46</v>
      </c>
      <c r="B8" s="5">
        <v>695</v>
      </c>
      <c r="D8" t="s">
        <v>47</v>
      </c>
      <c r="E8" s="5">
        <v>1.05</v>
      </c>
    </row>
    <row r="9" spans="1:5" x14ac:dyDescent="0.25">
      <c r="A9" t="s">
        <v>48</v>
      </c>
      <c r="B9" s="5">
        <v>160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0.4830249999999999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0.695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0.695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0.695</v>
      </c>
      <c r="C6" s="10" t="s">
        <v>107</v>
      </c>
      <c r="E6" s="10" t="s">
        <v>110</v>
      </c>
      <c r="F6" s="11">
        <v>2</v>
      </c>
    </row>
    <row r="7" spans="1:6" x14ac:dyDescent="0.25">
      <c r="A7" s="10" t="s">
        <v>111</v>
      </c>
      <c r="B7" s="11">
        <v>0.16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0.07728399999999999</v>
      </c>
      <c r="C8" s="10" t="s">
        <v>114</v>
      </c>
      <c r="E8" s="10" t="s">
        <v>115</v>
      </c>
      <c r="F8" s="11">
        <v>12.46436352</v>
      </c>
    </row>
    <row r="9" spans="1:6" x14ac:dyDescent="0.25">
      <c r="A9" s="10" t="s">
        <v>116</v>
      </c>
      <c r="B9" s="11">
        <v>0.4830249999999999</v>
      </c>
      <c r="C9" s="10" t="s">
        <v>117</v>
      </c>
      <c r="E9" s="10" t="s">
        <v>118</v>
      </c>
      <c r="F9" s="11">
        <v>0.19475568</v>
      </c>
    </row>
    <row r="10" spans="1:6" x14ac:dyDescent="0.25">
      <c r="A10" s="10" t="s">
        <v>119</v>
      </c>
      <c r="B10" s="11">
        <v>0.4830249999999999</v>
      </c>
      <c r="C10" s="10" t="s">
        <v>117</v>
      </c>
      <c r="E10" s="10" t="s">
        <v>120</v>
      </c>
      <c r="F10" s="12">
        <v>2121434.671104</v>
      </c>
    </row>
    <row r="11" spans="1:6" x14ac:dyDescent="0.25">
      <c r="A11" s="10" t="s">
        <v>121</v>
      </c>
      <c r="B11" s="11">
        <v>0.1112</v>
      </c>
      <c r="C11" s="10" t="s">
        <v>122</v>
      </c>
      <c r="E11" s="10" t="s">
        <v>123</v>
      </c>
      <c r="F11" s="12">
        <v>33147.416736</v>
      </c>
    </row>
    <row r="12" spans="1:3" x14ac:dyDescent="0.25">
      <c r="A12" s="10" t="s">
        <v>124</v>
      </c>
      <c r="B12" s="11">
        <v>0.1112</v>
      </c>
      <c r="C12" s="10" t="s">
        <v>122</v>
      </c>
    </row>
    <row r="13" spans="1:3" x14ac:dyDescent="0.25">
      <c r="A13" s="10" t="s">
        <v>125</v>
      </c>
      <c r="B13" s="11">
        <v>0.2224</v>
      </c>
      <c r="C13" s="10" t="s">
        <v>126</v>
      </c>
    </row>
    <row r="14" spans="1:3" x14ac:dyDescent="0.25">
      <c r="A14" s="10" t="s">
        <v>127</v>
      </c>
      <c r="B14" s="13">
        <v>1.4108499999999997</v>
      </c>
      <c r="C14" s="10" t="s">
        <v>128</v>
      </c>
    </row>
    <row r="15" spans="1:3" x14ac:dyDescent="0.25">
      <c r="A15" s="10" t="s">
        <v>129</v>
      </c>
      <c r="B15" s="13">
        <v>2.085</v>
      </c>
      <c r="C15" s="10" t="s">
        <v>130</v>
      </c>
    </row>
    <row r="16" spans="1:3" x14ac:dyDescent="0.25">
      <c r="A16" s="10" t="s">
        <v>131</v>
      </c>
      <c r="B16" s="13">
        <v>6.199999999999999</v>
      </c>
      <c r="C16" s="10" t="s">
        <v>132</v>
      </c>
    </row>
    <row r="17" spans="1:3" x14ac:dyDescent="0.25">
      <c r="A17" s="10" t="s">
        <v>133</v>
      </c>
      <c r="B17" s="13">
        <v>208.66679999999997</v>
      </c>
      <c r="C17" s="10" t="s">
        <v>134</v>
      </c>
    </row>
    <row r="18" spans="1:3" x14ac:dyDescent="0.25">
      <c r="A18" s="10" t="s">
        <v>42</v>
      </c>
      <c r="B18" s="13">
        <v>64</v>
      </c>
      <c r="C18" s="10" t="s">
        <v>31</v>
      </c>
    </row>
    <row r="19" spans="1:3" x14ac:dyDescent="0.25">
      <c r="A19" s="10" t="s">
        <v>135</v>
      </c>
      <c r="B19" s="13">
        <v>4.9461759999999995</v>
      </c>
      <c r="C19" s="10" t="s">
        <v>136</v>
      </c>
    </row>
    <row r="20" spans="1:3" x14ac:dyDescent="0.25">
      <c r="A20" s="10" t="s">
        <v>137</v>
      </c>
      <c r="B20" s="13">
        <v>13354.675199999998</v>
      </c>
      <c r="C20" s="10" t="s">
        <v>138</v>
      </c>
    </row>
    <row r="22" spans="1:3" x14ac:dyDescent="0.25">
      <c r="A22" t="s">
        <v>139</v>
      </c>
      <c r="B22" s="14">
        <v>0.4830249999999999</v>
      </c>
      <c r="C22" t="s">
        <v>140</v>
      </c>
    </row>
    <row r="23" spans="1:3" x14ac:dyDescent="0.25">
      <c r="A23" t="s">
        <v>141</v>
      </c>
      <c r="B23" s="14">
        <v>0.695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12.46436352</v>
      </c>
      <c r="E5" s="18">
        <v>170200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64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64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64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64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64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64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96</v>
      </c>
      <c r="J5" s="12">
        <v>243.9</v>
      </c>
      <c r="K5" s="12">
        <f>I5*J5</f>
      </c>
      <c r="L5" s="12">
        <f>K5*0.302</f>
      </c>
      <c r="M5" s="22">
        <v>0.3</v>
      </c>
      <c r="N5" s="10">
        <v>19.2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160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115.2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76.8</v>
      </c>
      <c r="J8" s="12">
        <v>152.44</v>
      </c>
      <c r="K8" s="12">
        <f>I8*J8</f>
      </c>
      <c r="L8" s="12">
        <f>K8*0.302</f>
      </c>
      <c r="M8" s="22">
        <v>0.5</v>
      </c>
      <c r="N8" s="10">
        <v>32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204.8</v>
      </c>
      <c r="J9" s="12">
        <v>176.83</v>
      </c>
      <c r="K9" s="12">
        <f>I9*J9</f>
      </c>
      <c r="L9" s="12">
        <f>K9*0.302</f>
      </c>
      <c r="M9" s="22">
        <v>2</v>
      </c>
      <c r="N9" s="10">
        <v>128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64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179.2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102.4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256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153.6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76.8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102.4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38.4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217.6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128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64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25.6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204.8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89.6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256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192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64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256</v>
      </c>
      <c r="J21" s="12">
        <v>176.83</v>
      </c>
      <c r="K21" s="12">
        <f>I21*J21</f>
      </c>
      <c r="L21" s="12">
        <f>K21*0.302</f>
      </c>
      <c r="M21" s="22">
        <v>2.5</v>
      </c>
      <c r="N21" s="10">
        <v>160</v>
      </c>
      <c r="O21" s="12">
        <v>6000</v>
      </c>
      <c r="P21" s="12">
        <f>N21*O21</f>
      </c>
      <c r="Q21" s="10">
        <v>15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160</v>
      </c>
      <c r="J22" s="12">
        <v>176.83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64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128</v>
      </c>
      <c r="J24" s="12">
        <v>243.9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64</v>
      </c>
      <c r="J25" s="12">
        <v>243.9</v>
      </c>
      <c r="K25" s="12">
        <f>I25*J25</f>
      </c>
      <c r="L25" s="12">
        <f>K25*0.302</f>
      </c>
      <c r="M25" s="22">
        <v>0</v>
      </c>
      <c r="N25" s="10">
        <v>0</v>
      </c>
      <c r="O25" s="12">
        <v>0</v>
      </c>
      <c r="P25" s="12">
        <f>N25*O25</f>
      </c>
      <c r="Q25" s="10">
        <v>0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288</v>
      </c>
      <c r="J26" s="12">
        <v>152.44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192</v>
      </c>
      <c r="J27" s="12">
        <v>152.44</v>
      </c>
      <c r="K27" s="12">
        <f>I27*J27</f>
      </c>
      <c r="L27" s="12">
        <f>K27*0.302</f>
      </c>
      <c r="M27" s="22">
        <v>0.6</v>
      </c>
      <c r="N27" s="10">
        <v>38.4</v>
      </c>
      <c r="O27" s="12">
        <v>2000</v>
      </c>
      <c r="P27" s="12">
        <f>N27*O27</f>
      </c>
      <c r="Q27" s="10">
        <v>5</v>
      </c>
      <c r="R27" s="10">
        <f>Q27*M27</f>
      </c>
      <c r="S27" s="12">
        <f>Q27*N27*12</f>
      </c>
      <c r="T27" s="12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115.2</v>
      </c>
      <c r="J28" s="12">
        <v>152.44</v>
      </c>
      <c r="K28" s="12">
        <f>I28*J28</f>
      </c>
      <c r="L28" s="12">
        <f>K28*0.302</f>
      </c>
      <c r="M28" s="22">
        <v>0.6</v>
      </c>
      <c r="N28" s="10">
        <v>38.4</v>
      </c>
      <c r="O28" s="12">
        <v>2000</v>
      </c>
      <c r="P28" s="12">
        <f>N28*O28</f>
      </c>
      <c r="Q28" s="10">
        <v>5</v>
      </c>
      <c r="R28" s="10">
        <f>Q28*M28</f>
      </c>
      <c r="S28" s="12">
        <f>Q28*N28*12</f>
      </c>
      <c r="T28" s="12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2">
        <v>3137834.671104</v>
      </c>
      <c r="C5" s="10" t="s">
        <v>315</v>
      </c>
    </row>
    <row r="6" spans="1:3" x14ac:dyDescent="0.25">
      <c r="A6" s="10" t="s">
        <v>316</v>
      </c>
      <c r="B6" s="12">
        <v>7028491.570304001</v>
      </c>
      <c r="C6" s="10" t="s">
        <v>317</v>
      </c>
    </row>
    <row r="7" spans="1:3" x14ac:dyDescent="0.25">
      <c r="A7" s="10" t="s">
        <v>318</v>
      </c>
      <c r="B7" s="12">
        <v>875147.5703039998</v>
      </c>
      <c r="C7" s="10" t="s">
        <v>319</v>
      </c>
    </row>
    <row r="8" spans="1:3" x14ac:dyDescent="0.25">
      <c r="A8" s="10" t="s">
        <v>320</v>
      </c>
      <c r="B8" s="12">
        <v>1514005.2966259196</v>
      </c>
      <c r="C8" s="10" t="s">
        <v>321</v>
      </c>
    </row>
    <row r="9" spans="1:3" x14ac:dyDescent="0.25">
      <c r="A9" s="10" t="s">
        <v>322</v>
      </c>
      <c r="B9" s="12">
        <v>11680331.538033921</v>
      </c>
      <c r="C9" s="10" t="s">
        <v>323</v>
      </c>
    </row>
    <row r="10" spans="1:3" x14ac:dyDescent="0.25">
      <c r="A10" s="10" t="s">
        <v>324</v>
      </c>
      <c r="B10" s="12">
        <v>934426.5230427138</v>
      </c>
      <c r="C10" s="10" t="s">
        <v>325</v>
      </c>
    </row>
    <row r="11" spans="1:3" x14ac:dyDescent="0.25">
      <c r="A11" s="10" t="s">
        <v>326</v>
      </c>
      <c r="B11" s="12">
        <v>12614758.061076635</v>
      </c>
      <c r="C11" s="10" t="s">
        <v>31</v>
      </c>
    </row>
    <row r="12" spans="1:3" x14ac:dyDescent="0.25">
      <c r="A12" s="10" t="s">
        <v>327</v>
      </c>
      <c r="B12" s="12">
        <v>4289017.740766057</v>
      </c>
      <c r="C12" s="10" t="s">
        <v>328</v>
      </c>
    </row>
    <row r="13" spans="1:3" x14ac:dyDescent="0.25">
      <c r="A13" s="24" t="s">
        <v>329</v>
      </c>
      <c r="B13" s="20">
        <v>16903775.801842693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2">
        <f>B5*B7*B6</f>
      </c>
      <c r="C12" s="10" t="s">
        <v>347</v>
      </c>
    </row>
    <row r="13" spans="1:3" x14ac:dyDescent="0.25">
      <c r="A13" s="10" t="s">
        <v>348</v>
      </c>
      <c r="B13" s="12">
        <f>B8</f>
      </c>
      <c r="C13" s="10" t="s">
        <v>31</v>
      </c>
    </row>
    <row r="14" spans="1:3" x14ac:dyDescent="0.25">
      <c r="A14" s="10" t="s">
        <v>349</v>
      </c>
      <c r="B14" s="12">
        <f>B9</f>
      </c>
      <c r="C14" s="10" t="s">
        <v>31</v>
      </c>
    </row>
    <row r="15" spans="1:3" x14ac:dyDescent="0.25">
      <c r="A15" s="10" t="s">
        <v>350</v>
      </c>
      <c r="B15" s="12">
        <v>84518.87900921347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2">
        <v>3137834.671104</v>
      </c>
      <c r="C5" s="10" t="s">
        <v>31</v>
      </c>
    </row>
    <row r="6" spans="1:3" x14ac:dyDescent="0.25">
      <c r="A6" s="10" t="s">
        <v>358</v>
      </c>
      <c r="B6" s="12">
        <v>7028491.570304001</v>
      </c>
      <c r="C6" s="10" t="s">
        <v>31</v>
      </c>
    </row>
    <row r="7" spans="1:3" x14ac:dyDescent="0.25">
      <c r="A7" s="10" t="s">
        <v>359</v>
      </c>
      <c r="B7" s="12">
        <v>1514005.2966259196</v>
      </c>
      <c r="C7" s="10" t="s">
        <v>31</v>
      </c>
    </row>
    <row r="8" spans="1:3" x14ac:dyDescent="0.25">
      <c r="A8" s="10" t="s">
        <v>360</v>
      </c>
      <c r="B8" s="12">
        <v>934426.5230427138</v>
      </c>
      <c r="C8" s="10" t="s">
        <v>31</v>
      </c>
    </row>
    <row r="9" spans="1:3" x14ac:dyDescent="0.25">
      <c r="A9" s="10" t="s">
        <v>361</v>
      </c>
      <c r="B9" s="12">
        <v>4289017.740766057</v>
      </c>
      <c r="C9" s="10" t="s">
        <v>31</v>
      </c>
    </row>
    <row r="10" spans="1:3" x14ac:dyDescent="0.25">
      <c r="A10" s="10" t="s">
        <v>362</v>
      </c>
      <c r="B10" s="12">
        <v>16903775.801842693</v>
      </c>
      <c r="C10" s="10" t="s">
        <v>31</v>
      </c>
    </row>
    <row r="11" spans="1:3" x14ac:dyDescent="0.25">
      <c r="A11" s="10" t="s">
        <v>363</v>
      </c>
      <c r="B11" s="12">
        <v>257318.87900921347</v>
      </c>
      <c r="C11" s="10" t="s">
        <v>31</v>
      </c>
    </row>
    <row r="12" spans="1:3" x14ac:dyDescent="0.25">
      <c r="A12" s="10" t="s">
        <v>364</v>
      </c>
      <c r="B12" s="12">
        <v>17161094.680851907</v>
      </c>
      <c r="C12" s="10" t="s">
        <v>31</v>
      </c>
    </row>
    <row r="13" spans="1:3" x14ac:dyDescent="0.25">
      <c r="A13" s="24" t="s">
        <v>365</v>
      </c>
      <c r="B13" s="20">
        <v>3432218.9361703815</v>
      </c>
      <c r="C13" s="10" t="s">
        <v>31</v>
      </c>
    </row>
    <row r="14" spans="1:3" x14ac:dyDescent="0.25">
      <c r="A14" s="25" t="s">
        <v>366</v>
      </c>
      <c r="B14" s="26">
        <v>20593313.617022287</v>
      </c>
      <c r="C14" s="10" t="s">
        <v>31</v>
      </c>
    </row>
    <row r="15" spans="1:3" x14ac:dyDescent="0.25">
      <c r="A15" s="10" t="s">
        <v>367</v>
      </c>
      <c r="B15" s="12">
        <v>268142.10438831104</v>
      </c>
      <c r="C15" s="10" t="s">
        <v>31</v>
      </c>
    </row>
    <row r="16" spans="1:3" x14ac:dyDescent="0.25">
      <c r="A16" s="10" t="s">
        <v>368</v>
      </c>
      <c r="B16" s="12">
        <v>321770.52526597324</v>
      </c>
      <c r="C16" s="10" t="s">
        <v>31</v>
      </c>
    </row>
    <row r="17" spans="1:3" x14ac:dyDescent="0.25">
      <c r="A17" s="24" t="s">
        <v>369</v>
      </c>
      <c r="B17" s="20">
        <v>555130.9029311342</v>
      </c>
      <c r="C17" s="10" t="s">
        <v>370</v>
      </c>
    </row>
    <row r="18" spans="1:3" x14ac:dyDescent="0.25">
      <c r="A18" s="24" t="s">
        <v>371</v>
      </c>
      <c r="B18" s="20">
        <v>666157.083517361</v>
      </c>
      <c r="C18" s="10" t="s">
        <v>370</v>
      </c>
    </row>
    <row r="19" spans="1:3" x14ac:dyDescent="0.25">
      <c r="A19" s="10" t="s">
        <v>372</v>
      </c>
      <c r="B19" s="12">
        <v>385815.9775371382</v>
      </c>
      <c r="C19" s="10" t="s">
        <v>373</v>
      </c>
    </row>
    <row r="20" spans="1:3" x14ac:dyDescent="0.25">
      <c r="A20" s="10" t="s">
        <v>374</v>
      </c>
      <c r="B20" s="12">
        <v>462979.17304456583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2026-04-05T13:19:46Z</dcterms:created>
  <dcterms:modified xsi:type="dcterms:W3CDTF">2026-04-05T13:19:46Z</dcterms:modified>
</cp:coreProperties>
</file>
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<sst xmlns="http://schemas.openxmlformats.org/spreadsheetml/2006/main" count="529" uniqueCount="391">
  <si>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</si>
  <si>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</si>
  <si>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</si>
  <si>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лощение; размеры 600×600×30мм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</si>
  <si>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</si>
  <si>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</si>
  <si>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</si>
  <si>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600 × 600 × 30</t>
  </si>
  <si>
    <t>Количество:</t>
  </si>
  <si>
    <t>341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</si>
  <si>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</si>
  <si>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</si>
  <si>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</si>
  <si>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</si>
  <si>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</si>
  <si>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</si>
  <si>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</si>
  <si>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</si>
  <si>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</si>
  <si>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</si>
  <si>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</si>
  <si>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</si>
  <si>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</si>
  <si>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</si>
  <si>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</si>
  <si>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</si>
  <si>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</si>
  <si>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</si>
  <si>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</si>
  <si>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</si>
  <si>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</si>
  <si>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</si>
  <si>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</si>
  <si>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</si>
  <si>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</si>
  <si>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</si>
  <si>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</si>
  <si>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</si>
  <si>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</si>
  <si>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</si>
  <si>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</si>
  <si>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</si>
  <si>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</si>
  <si>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</si>
  <si>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</si>
  <si>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</si>
  <si>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</si>
  <si>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</si>
  <si>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</si>
  <si>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</si>
  <si>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</si>
  <si>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</si>
  <si>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</si>
  <si>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</si>
  <si>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</si>
  <si>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</si>
  <si>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</si>
  <si>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</si>
  <si>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</si>
  <si>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</si>
  <si>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</si>
  <si>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</si>
  <si>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</si>
  <si>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</si>
  <si>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</si>
  <si>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</si>
  <si>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</si>
  <si>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</si>
  <si>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</si>
  <si>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</si>
  <si>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</si>
  <si>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</si>
  <si>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</si>
  <si>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</si>
  <si>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</si>
  <si>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</si>
  <si>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</si>
  <si>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</si>
  <si>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</si>
  <si>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</si>
  <si>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</si>
  <si>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</si>
  <si>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</si>
  <si>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</si>
  <si>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</si>
  <si>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</si>
  <si>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</si>
  <si>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</si>
  <si>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</si>
  <si>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</si>
  <si>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</si>
  <si>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</si>
  <si>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</si>
  <si>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</si>
  <si>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</si>
  <si>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</si>
  <si>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</si>
  <si>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</si>
  <si>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</si>
  <si>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</si>
  <si>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</si>
  <si>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600×600×30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</si>
  <si>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</si>
  <si>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</si>
  <si>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</si>
  <si>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</si>
  <si>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</si>
  <si>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</si>
  <si>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</si>
  <si>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</si>
  <si>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</si>
  <si>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</si>
  <si>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</si>
  <si>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</si>
  <si>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</si>
  <si>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</si>
  <si>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</si>
  <si>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</si>
  <si>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</si>
  <si>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</si>
  <si>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</si>
  <si>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</si>
  <si>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</si>
  <si>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</si>
  <si>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</si>
  <si>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</si>
  <si>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</si>
  <si>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</si>
  <si>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</si>
  <si>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</si>
  <si>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</si>
  <si>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</si>
  <si>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</si>
  <si>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</si>
  <si>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</si>
  <si>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</si>
  <si>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</si>
  <si>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</si>
  <si>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</si>
  <si>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</si>
  <si>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</si>
  <si>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</si>
  <si>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</si>
  <si>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</si>
  <si>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</si>
  <si>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</si>
  <si>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</si>
  <si>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</si>
  <si>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</si>
  <si>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</si>
  <si>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</si>
  <si>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</si>
  <si>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</si>
  <si>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</si>
  <si>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</si>
  <si>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</si>
  <si>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</si>
  <si>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</si>
  <si>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</si>
  <si>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</si>
  <si>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</si>
  <si>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</si>
  <si>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</si>
  <si>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</si>
  <si>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</si>
  <si>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</si>
  <si>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</si>
  <si>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</si>
  <si>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</si>
  <si>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</si>
  <si>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</si>
  <si>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</si>
  <si>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</si>
  <si>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</si>
  <si>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</si>
  <si>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</si>
  <si>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</si>
  <si>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341 компл на 341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</si>
  <si>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</si>
  <si>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</si>
  <si>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</si>
  <si>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</si>
  <si>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</si>
  <si>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</si>
  <si>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</si>
  <si>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</si>
  <si>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</si>
  <si>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</si>
  <si>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</si>
  <si>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</si>
  <si>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</si>
  <si>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</si>
  <si>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</si>
  <si>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</si>
  <si>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</si>
  <si>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</si>
  <si>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</si>
  <si>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</si>
  <si>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</si>
  <si>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</si>
  <si>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</si>
  <si>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</si>
  <si>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</si>
  <si>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</si>
  <si>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</si>
  <si>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</si>
  <si>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</si>
  <si>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</si>
  <si>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</si>
  <si>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</si>
  <si>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</si>
  <si>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</si>
  <si>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</si>
  <si>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</si>
  <si>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</si>
  <si>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</si>
  <si>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</si>
  <si>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</si>
  <si>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</si>
  <si>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</si>
  <si>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</si>
  <si>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</si>
  <si>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</si>
  <si>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</si>
  <si>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</si>
  <si>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</si>
  <si>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</si>
  <si>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</si>
  <si>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</si>
  <si>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</si>
  <si>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</si>
  <si>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</si>
  <si>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</si>
  <si>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</si>
  <si>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</si>
  <si>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</si>
  <si>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</si>
  <si>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</si>
  <si>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</si>
  <si>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</si>
  <si>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</si>
  <si>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</si>
  <si>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</si>
  <si>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</si>
  <si>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</si>
  <si>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</si>
  <si>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</si>
  <si>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</si>
  <si>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</si>
  <si>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</si>
  <si>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</si>
  <si>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</si>
  <si>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</si>
  <si>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</si>
  <si>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</si>
  <si>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</si>
  <si>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</si>
  <si>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</si>
  <si>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</si>
  <si>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</si>
  <si>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</si>
  <si>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</si>
  <si>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</si>
  <si>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</si>
  <si>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</si>
  <si>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</si>
  <si>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</si>
  <si>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</si>
  <si>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</si>
  <si>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</si>
  <si>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</si>
  <si>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</si>
  <si>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</si>
  <si>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</si>
  <si>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</si>
  <si>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</si>
  <si>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</si>
  <si>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</si>
  <si>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</si>
  <si>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</si>
  <si>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</si>
  <si>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</si>
  <si>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</si>
  <si>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</si>
  <si>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</si>
  <si>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</si>
  <si>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</si>
  <si>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</si>
  <si>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</si>
  <si>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</si>
  <si>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</si>
  <si>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</si>
  <si>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</si>
  <si>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</si>
  <si>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</si>
  <si>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</si>
  <si>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</si>
  <si>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</si>
  <si>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</si>
  <si>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</si>
  <si>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</si>
  <si>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</si>
  <si>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</si>
  <si>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</si>
  <si>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</si>
  <si>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</si>
  <si>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</si>
  <si>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</si>
  <si>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</si>
  <si>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</si>
  <si>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</si>
  <si>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</si>
  <si>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</si>
  <si>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</si>
  <si>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</si>
  <si>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</si>
  <si>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</si>
  <si>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</si>
  <si>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</si>
  <si>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</si>
  <si>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</si>
  <si>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</si>
  <si>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</si>
  <si>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</si>
  <si>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</si>
  <si>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</si>
  <si>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</si>
  <si>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</si>
  <si>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</si>
  <si>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</si>
  <si>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</si>
  <si>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</si>
  <si>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</si>
  <si>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</si>
  <si>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</si>
  <si>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</si>
  <si>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</si>
  <si>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</si>
  <si>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</si>
  <si>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</si>
  <si>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</si>
  <si>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</si>
  <si>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</si>
  <si>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</si>
  <si>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</si>
  <si>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</si>
  <si>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</si>
  <si>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</si>
  <si>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</si>
  <si>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</si>
  <si>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</si>
  <si>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</si>
  <si>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</si>
  <si>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</si>
  <si>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</si>
  <si>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341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</si>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</sst>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341</v>
      </c>
      <c r="D6" t="s">
        <v>43</v>
      </c>
      <c r="E6" s="5">
        <v>1.2</v>
      </c>
    </row>
    <row r="7" spans="1:5" x14ac:dyDescent="0.25">
      <c r="A7" t="s">
        <v>44</v>
      </c>
      <c r="B7" s="5">
        <v>600</v>
      </c>
      <c r="D7" t="s">
        <v>45</v>
      </c>
      <c r="E7" s="5">
        <v>1.4</v>
      </c>
    </row>
    <row r="8" spans="1:5" x14ac:dyDescent="0.25">
      <c r="A8" t="s">
        <v>46</v>
      </c>
      <c r="B8" s="5">
        <v>600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0.36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0.6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0.6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0.6</v>
      </c>
      <c r="C6" s="10" t="s">
        <v>107</v>
      </c>
      <c r="E6" s="10" t="s">
        <v>110</v>
      </c>
      <c r="F6" s="11">
        <v>1.4</v>
      </c>
    </row>
    <row r="7" spans="1:6" x14ac:dyDescent="0.25">
      <c r="A7" s="10" t="s">
        <v>111</v>
      </c>
      <c r="B7" s="11">
        <v>0.03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0.010799999999999999</v>
      </c>
      <c r="C8" s="10" t="s">
        <v>114</v>
      </c>
      <c r="E8" s="10" t="s">
        <v>115</v>
      </c>
      <c r="F8" s="11">
        <v>6.496459199999999</v>
      </c>
    </row>
    <row r="9" spans="1:6" x14ac:dyDescent="0.25">
      <c r="A9" s="10" t="s">
        <v>116</v>
      </c>
      <c r="B9" s="11">
        <v>0.36</v>
      </c>
      <c r="C9" s="10" t="s">
        <v>117</v>
      </c>
      <c r="E9" s="10" t="s">
        <v>118</v>
      </c>
      <c r="F9" s="11">
        <v>0.019051199999999997</v>
      </c>
    </row>
    <row r="10" spans="1:6" x14ac:dyDescent="0.25">
      <c r="A10" s="10" t="s">
        <v>119</v>
      </c>
      <c r="B10" s="11">
        <v>0.36</v>
      </c>
      <c r="C10" s="10" t="s">
        <v>117</v>
      </c>
      <c r="E10" s="10" t="s">
        <v>120</v>
      </c>
      <c r="F10" s="12">
        <v>1105697.3558399999</v>
      </c>
    </row>
    <row r="11" spans="1:6" x14ac:dyDescent="0.25">
      <c r="A11" s="10" t="s">
        <v>121</v>
      </c>
      <c r="B11" s="11">
        <v>0.018</v>
      </c>
      <c r="C11" s="10" t="s">
        <v>122</v>
      </c>
      <c r="E11" s="10" t="s">
        <v>123</v>
      </c>
      <c r="F11" s="12">
        <v>3242.5142399999995</v>
      </c>
    </row>
    <row r="12" spans="1:3" x14ac:dyDescent="0.25">
      <c r="A12" s="10" t="s">
        <v>124</v>
      </c>
      <c r="B12" s="11">
        <v>0.018</v>
      </c>
      <c r="C12" s="10" t="s">
        <v>122</v>
      </c>
    </row>
    <row r="13" spans="1:3" x14ac:dyDescent="0.25">
      <c r="A13" s="10" t="s">
        <v>125</v>
      </c>
      <c r="B13" s="11">
        <v>0.036</v>
      </c>
      <c r="C13" s="10" t="s">
        <v>126</v>
      </c>
    </row>
    <row r="14" spans="1:3" x14ac:dyDescent="0.25">
      <c r="A14" s="10" t="s">
        <v>127</v>
      </c>
      <c r="B14" s="11">
        <v>0.792</v>
      </c>
      <c r="C14" s="10" t="s">
        <v>128</v>
      </c>
    </row>
    <row r="15" spans="1:3" x14ac:dyDescent="0.25">
      <c r="A15" s="10" t="s">
        <v>129</v>
      </c>
      <c r="B15" s="13">
        <v>1.7999999999999998</v>
      </c>
      <c r="C15" s="10" t="s">
        <v>130</v>
      </c>
    </row>
    <row r="16" spans="1:3" x14ac:dyDescent="0.25">
      <c r="A16" s="10" t="s">
        <v>131</v>
      </c>
      <c r="B16" s="13">
        <v>4.92</v>
      </c>
      <c r="C16" s="10" t="s">
        <v>132</v>
      </c>
    </row>
    <row r="17" spans="1:3" x14ac:dyDescent="0.25">
      <c r="A17" s="10" t="s">
        <v>133</v>
      </c>
      <c r="B17" s="13">
        <v>29.159999999999997</v>
      </c>
      <c r="C17" s="10" t="s">
        <v>134</v>
      </c>
    </row>
    <row r="18" spans="1:3" x14ac:dyDescent="0.25">
      <c r="A18" s="10" t="s">
        <v>42</v>
      </c>
      <c r="B18" s="13">
        <v>341</v>
      </c>
      <c r="C18" s="10" t="s">
        <v>31</v>
      </c>
    </row>
    <row r="19" spans="1:3" x14ac:dyDescent="0.25">
      <c r="A19" s="10" t="s">
        <v>135</v>
      </c>
      <c r="B19" s="13">
        <v>3.6827999999999994</v>
      </c>
      <c r="C19" s="10" t="s">
        <v>136</v>
      </c>
    </row>
    <row r="20" spans="1:3" x14ac:dyDescent="0.25">
      <c r="A20" s="10" t="s">
        <v>137</v>
      </c>
      <c r="B20" s="13">
        <v>9943.56</v>
      </c>
      <c r="C20" s="10" t="s">
        <v>138</v>
      </c>
    </row>
    <row r="22" spans="1:3" x14ac:dyDescent="0.25">
      <c r="A22" t="s">
        <v>139</v>
      </c>
      <c r="B22" s="14">
        <v>0.36</v>
      </c>
      <c r="C22" t="s">
        <v>140</v>
      </c>
    </row>
    <row r="23" spans="1:3" x14ac:dyDescent="0.25">
      <c r="A23" t="s">
        <v>141</v>
      </c>
      <c r="B23" s="14">
        <v>0.6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6.496459199999999</v>
      </c>
      <c r="E5" s="18">
        <v>170200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341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341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341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341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341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341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511.5</v>
      </c>
      <c r="J5" s="12">
        <v>243.9</v>
      </c>
      <c r="K5" s="12">
        <f>I5*J5</f>
      </c>
      <c r="L5" s="12">
        <f>K5*0.302</f>
      </c>
      <c r="M5" s="22">
        <v>0.3</v>
      </c>
      <c r="N5" s="10">
        <v>102.3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852.5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613.8000000000001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409.2</v>
      </c>
      <c r="J8" s="12">
        <v>152.44</v>
      </c>
      <c r="K8" s="12">
        <f>I8*J8</f>
      </c>
      <c r="L8" s="12">
        <f>K8*0.302</f>
      </c>
      <c r="M8" s="22">
        <v>0.5</v>
      </c>
      <c r="N8" s="10">
        <v>170.5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1091.2</v>
      </c>
      <c r="J9" s="12">
        <v>176.83</v>
      </c>
      <c r="K9" s="12">
        <f>I9*J9</f>
      </c>
      <c r="L9" s="12">
        <f>K9*0.302</f>
      </c>
      <c r="M9" s="22">
        <v>2</v>
      </c>
      <c r="N9" s="10">
        <v>682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341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954.8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545.6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1364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818.4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409.2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545.6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204.6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1159.3999999999999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682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341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136.4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1091.2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477.4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1364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1023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341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1364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852.5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852.5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341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682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341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1534.5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1023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204.6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613.8000000000001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204.6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6443297.355839999</v>
      </c>
      <c r="C5" s="10" t="s">
        <v>315</v>
      </c>
    </row>
    <row r="6" spans="1:3" x14ac:dyDescent="0.25">
      <c r="A6" s="10" t="s">
        <v>316</v>
      </c>
      <c r="B6" s="12">
        <v>37448681.648026</v>
      </c>
      <c r="C6" s="10" t="s">
        <v>317</v>
      </c>
    </row>
    <row r="7" spans="1:3" x14ac:dyDescent="0.25">
      <c r="A7" s="10" t="s">
        <v>318</v>
      </c>
      <c r="B7" s="12">
        <v>4662895.648026</v>
      </c>
      <c r="C7" s="10" t="s">
        <v>319</v>
      </c>
    </row>
    <row r="8" spans="1:3" x14ac:dyDescent="0.25">
      <c r="A8" s="10" t="s">
        <v>320</v>
      </c>
      <c r="B8" s="12">
        <v>8066809.471084979</v>
      </c>
      <c r="C8" s="10" t="s">
        <v>321</v>
      </c>
    </row>
    <row r="9" spans="1:3" x14ac:dyDescent="0.25">
      <c r="A9" s="10" t="s">
        <v>322</v>
      </c>
      <c r="B9" s="12">
        <v>51958788.47495098</v>
      </c>
      <c r="C9" s="10" t="s">
        <v>323</v>
      </c>
    </row>
    <row r="10" spans="1:3" x14ac:dyDescent="0.25">
      <c r="A10" s="10" t="s">
        <v>324</v>
      </c>
      <c r="B10" s="12">
        <v>4156703.0779960784</v>
      </c>
      <c r="C10" s="10" t="s">
        <v>325</v>
      </c>
    </row>
    <row r="11" spans="1:3" x14ac:dyDescent="0.25">
      <c r="A11" s="10" t="s">
        <v>326</v>
      </c>
      <c r="B11" s="12">
        <v>56115491.55294705</v>
      </c>
      <c r="C11" s="10" t="s">
        <v>31</v>
      </c>
    </row>
    <row r="12" spans="1:3" x14ac:dyDescent="0.25">
      <c r="A12" s="10" t="s">
        <v>327</v>
      </c>
      <c r="B12" s="12">
        <v>19079267.128002</v>
      </c>
      <c r="C12" s="10" t="s">
        <v>328</v>
      </c>
    </row>
    <row r="13" spans="1:3" x14ac:dyDescent="0.25">
      <c r="A13" s="24" t="s">
        <v>329</v>
      </c>
      <c r="B13" s="20">
        <v>75194758.68094905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375973.7934047452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6443297.355839999</v>
      </c>
      <c r="C5" s="10" t="s">
        <v>31</v>
      </c>
    </row>
    <row r="6" spans="1:3" x14ac:dyDescent="0.25">
      <c r="A6" s="10" t="s">
        <v>358</v>
      </c>
      <c r="B6" s="12">
        <v>37448681.648026</v>
      </c>
      <c r="C6" s="10" t="s">
        <v>31</v>
      </c>
    </row>
    <row r="7" spans="1:3" x14ac:dyDescent="0.25">
      <c r="A7" s="10" t="s">
        <v>359</v>
      </c>
      <c r="B7" s="12">
        <v>8066809.471084979</v>
      </c>
      <c r="C7" s="10" t="s">
        <v>31</v>
      </c>
    </row>
    <row r="8" spans="1:3" x14ac:dyDescent="0.25">
      <c r="A8" s="10" t="s">
        <v>360</v>
      </c>
      <c r="B8" s="12">
        <v>4156703.0779960784</v>
      </c>
      <c r="C8" s="10" t="s">
        <v>31</v>
      </c>
    </row>
    <row r="9" spans="1:3" x14ac:dyDescent="0.25">
      <c r="A9" s="10" t="s">
        <v>361</v>
      </c>
      <c r="B9" s="12">
        <v>19079267.128002</v>
      </c>
      <c r="C9" s="10" t="s">
        <v>31</v>
      </c>
    </row>
    <row r="10" spans="1:3" x14ac:dyDescent="0.25">
      <c r="A10" s="10" t="s">
        <v>362</v>
      </c>
      <c r="B10" s="12">
        <v>75194758.68094905</v>
      </c>
      <c r="C10" s="10" t="s">
        <v>31</v>
      </c>
    </row>
    <row r="11" spans="1:3" x14ac:dyDescent="0.25">
      <c r="A11" s="10" t="s">
        <v>363</v>
      </c>
      <c r="B11" s="12">
        <v>548773.7934047452</v>
      </c>
      <c r="C11" s="10" t="s">
        <v>31</v>
      </c>
    </row>
    <row r="12" spans="1:3" x14ac:dyDescent="0.25">
      <c r="A12" s="10" t="s">
        <v>364</v>
      </c>
      <c r="B12" s="12">
        <v>75743532.47435379</v>
      </c>
      <c r="C12" s="10" t="s">
        <v>31</v>
      </c>
    </row>
    <row r="13" spans="1:3" x14ac:dyDescent="0.25">
      <c r="A13" s="24" t="s">
        <v>365</v>
      </c>
      <c r="B13" s="20">
        <v>15148706.49487076</v>
      </c>
      <c r="C13" s="10" t="s">
        <v>31</v>
      </c>
    </row>
    <row r="14" spans="1:3" x14ac:dyDescent="0.25">
      <c r="A14" s="25" t="s">
        <v>366</v>
      </c>
      <c r="B14" s="26">
        <v>90892238.96922454</v>
      </c>
      <c r="C14" s="10" t="s">
        <v>31</v>
      </c>
    </row>
    <row r="15" spans="1:3" x14ac:dyDescent="0.25">
      <c r="A15" s="10" t="s">
        <v>367</v>
      </c>
      <c r="B15" s="12">
        <v>222121.79611247446</v>
      </c>
      <c r="C15" s="10" t="s">
        <v>31</v>
      </c>
    </row>
    <row r="16" spans="1:3" x14ac:dyDescent="0.25">
      <c r="A16" s="10" t="s">
        <v>368</v>
      </c>
      <c r="B16" s="12">
        <v>266546.15533496934</v>
      </c>
      <c r="C16" s="10" t="s">
        <v>31</v>
      </c>
    </row>
    <row r="17" spans="1:3" x14ac:dyDescent="0.25">
      <c r="A17" s="24" t="s">
        <v>369</v>
      </c>
      <c r="B17" s="20">
        <v>617004.989201318</v>
      </c>
      <c r="C17" s="10" t="s">
        <v>370</v>
      </c>
    </row>
    <row r="18" spans="1:3" x14ac:dyDescent="0.25">
      <c r="A18" s="24" t="s">
        <v>371</v>
      </c>
      <c r="B18" s="20">
        <v>740405.9870415815</v>
      </c>
      <c r="C18" s="10" t="s">
        <v>370</v>
      </c>
    </row>
    <row r="19" spans="1:3" x14ac:dyDescent="0.25">
      <c r="A19" s="10" t="s">
        <v>372</v>
      </c>
      <c r="B19" s="12">
        <v>370202.99352079077</v>
      </c>
      <c r="C19" s="10" t="s">
        <v>373</v>
      </c>
    </row>
    <row r="20" spans="1:3" x14ac:dyDescent="0.25">
      <c r="A20" s="10" t="s">
        <v>374</v>
      </c>
      <c r="B20" s="12">
        <v>444243.5922249489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